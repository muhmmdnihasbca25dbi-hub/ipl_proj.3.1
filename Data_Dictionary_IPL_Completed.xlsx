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uhju\Downloads\test\"/>
    </mc:Choice>
  </mc:AlternateContent>
  <xr:revisionPtr revIDLastSave="0" documentId="13_ncr:1_{E7A40C5B-45F7-4464-BCF2-2A84F210D85B}" xr6:coauthVersionLast="47" xr6:coauthVersionMax="47" xr10:uidLastSave="{00000000-0000-0000-0000-000000000000}"/>
  <bookViews>
    <workbookView xWindow="-108" yWindow="-108" windowWidth="23256" windowHeight="1245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7" i="6"/>
  <c r="C6" i="6"/>
  <c r="C5" i="6"/>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sharedStrings.xml><?xml version="1.0" encoding="utf-8"?>
<sst xmlns="http://schemas.openxmlformats.org/spreadsheetml/2006/main" count="951" uniqueCount="564">
  <si>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</si>
  <si>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</si>
  <si>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</si>
  <si>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</si>
  <si>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</si>
  <si>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</si>
  <si>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</si>
  <si>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</si>
  <si>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</si>
  <si>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</si>
  <si>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</si>
  <si>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</si>
  <si>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</si>
  <si>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</si>
  <si>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</si>
  <si>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</si>
  <si>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</si>
  <si>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</si>
  <si>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</si>
  <si>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</si>
  <si>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</si>
  <si>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</si>
  <si>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</si>
  <si>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</si>
  <si>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</si>
  <si>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</si>
  <si>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</si>
  <si>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</si>
  <si>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</si>
  <si>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</si>
  <si>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</si>
  <si>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</si>
  <si>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</si>
  <si>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</si>
  <si>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</si>
  <si>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</si>
  <si>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</si>
  <si>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</si>
  <si>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</si>
  <si>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</si>
  <si>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</si>
  <si>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</si>
  <si>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</si>
  <si>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</si>
  <si>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</si>
  <si>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</si>
  <si>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</si>
  <si>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</si>
  <si>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</si>
  <si>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</si>
  <si>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</si>
  <si>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</si>
  <si>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</si>
  <si>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</si>
  <si>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</si>
  <si>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</si>
  <si>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</si>
  <si>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</si>
  <si>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</si>
  <si>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</si>
  <si>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</si>
  <si>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</si>
  <si>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</si>
  <si>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</si>
  <si>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</si>
  <si>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</si>
  <si>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</si>
  <si>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</si>
  <si>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</si>
  <si>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</si>
  <si>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</si>
  <si>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</si>
  <si>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</si>
  <si>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</si>
  <si>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</si>
  <si>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</si>
  <si>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</si>
  <si>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</si>
  <si>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</si>
  <si>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</si>
  <si>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</si>
  <si>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</si>
  <si>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</si>
  <si>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</si>
  <si>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</si>
  <si>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</si>
  <si>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</si>
  <si>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</si>
  <si>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</si>
  <si>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</si>
  <si>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</si>
  <si>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</si>
  <si>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</si>
  <si>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</si>
  <si>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</si>
  <si>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</si>
  <si>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</si>
  <si>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</si>
  <si>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</si>
  <si>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</si>
  <si>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</si>
  <si>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</si>
  <si>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</si>
  <si>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</si>
  <si>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</si>
  <si>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</si>
  <si>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</si>
  <si>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</si>
  <si>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</si>
  <si>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</si>
  <si>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</si>
  <si>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</si>
  <si>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</si>
  <si>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</si>
  <si>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</si>
  <si>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</si>
  <si>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</si>
  <si>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</si>
  <si>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</si>
  <si>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</si>
  <si>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</si>
  <si>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</si>
  <si>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</si>
  <si>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</si>
  <si>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</si>
  <si>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</si>
  <si>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</si>
  <si>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</si>
  <si>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</si>
  <si>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</si>
  <si>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</si>
  <si>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</si>
  <si>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</si>
  <si>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</si>
  <si>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</si>
  <si>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</si>
  <si>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</si>
  <si>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</si>
  <si>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</si>
  <si>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</si>
  <si>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</si>
  <si>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</si>
  <si>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</si>
  <si>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</si>
  <si>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</si>
  <si>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</si>
  <si>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</si>
  <si>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</si>
  <si>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</si>
  <si>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</si>
  <si>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</si>
  <si>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</si>
  <si>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</si>
  <si>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</si>
  <si>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</si>
  <si>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</si>
  <si>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</si>
  <si>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</si>
  <si>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</si>
  <si>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</si>
  <si>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</si>
  <si>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</si>
  <si>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</si>
  <si>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</si>
  <si>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</si>
  <si>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</si>
  <si>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</si>
  <si>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</si>
  <si>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</si>
  <si>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</si>
  <si>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</si>
  <si>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</si>
  <si>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</si>
  <si>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</si>
  <si>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</si>
  <si>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</si>
  <si>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</si>
  <si>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</si>
  <si>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</si>
  <si>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</si>
  <si>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</si>
  <si>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</si>
  <si>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</si>
  <si>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</si>
  <si>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</si>
  <si>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</si>
  <si>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</si>
  <si>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</si>
  <si>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</si>
  <si>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</si>
  <si>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</si>
  <si>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</si>
  <si>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</si>
  <si>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</si>
  <si>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</si>
  <si>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</si>
  <si>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</si>
  <si>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</si>
  <si>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</si>
  <si>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</si>
  <si>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</si>
  <si>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</si>
  <si>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</si>
  <si>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</si>
  <si>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</si>
  <si>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</si>
  <si>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</si>
  <si>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</si>
  <si>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</si>
  <si>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</si>
  <si>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</si>
  <si>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</si>
  <si>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</si>
  <si>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</si>
  <si>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</si>
  <si>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</si>
  <si>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</si>
  <si>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</si>
  <si>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</si>
  <si>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</si>
  <si>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</si>
  <si>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</si>
  <si>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</si>
  <si>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</si>
  <si>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</si>
  <si>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</si>
  <si>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</si>
  <si>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</si>
  <si>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</si>
  <si>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</si>
  <si>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</si>
  <si>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</si>
  <si>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</si>
  <si>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</si>
  <si>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</si>
  <si>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</si>
  <si>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</si>
  <si>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</si>
  <si>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</si>
  <si>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</si>
  <si>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</si>
  <si>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</si>
  <si>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</si>
  <si>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</si>
  <si>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</si>
  <si>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</si>
  <si>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</si>
  <si>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</si>
  <si>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</si>
  <si>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</si>
  <si>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</si>
  <si>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</si>
  <si>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</si>
  <si>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</si>
  <si>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</si>
  <si>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</si>
  <si>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</si>
  <si>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</si>
  <si>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</si>
  <si>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</si>
  <si>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</si>
  <si>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</si>
  <si>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</si>
  <si>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</si>
  <si>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</si>
  <si>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</si>
  <si>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</si>
  <si>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</si>
  <si>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</si>
  <si>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</si>
  <si>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</si>
  <si>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</si>
  <si>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</si>
  <si>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</si>
  <si>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</si>
  <si>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</si>
  <si>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</si>
  <si>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</si>
  <si>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</si>
  <si>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</si>
  <si>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</si>
  <si>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</si>
  <si>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</si>
  <si>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</si>
  <si>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</si>
  <si>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</si>
  <si>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</si>
  <si>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</si>
  <si>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</si>
  <si>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</si>
  <si>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</si>
  <si>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</si>
  <si>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</si>
  <si>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</si>
  <si>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</si>
  <si>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</si>
  <si>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</si>
  <si>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</si>
  <si>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</si>
  <si>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</si>
  <si>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</si>
  <si>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</si>
  <si>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</si>
  <si>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</si>
  <si>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</si>
  <si>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</si>
  <si>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</si>
  <si>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</si>
  <si>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</si>
  <si>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</si>
  <si>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</si>
  <si>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</si>
  <si>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</si>
  <si>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</si>
  <si>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</si>
  <si>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</si>
  <si>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</si>
  <si>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</si>
  <si>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</si>
  <si>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</si>
  <si>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</si>
  <si>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</si>
  <si>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</si>
  <si>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</si>
  <si>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</si>
  <si>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</si>
  <si>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</si>
  <si>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</si>
  <si>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</si>
  <si>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</si>
  <si>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</si>
  <si>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</si>
  <si>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</si>
  <si>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</si>
  <si>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</si>
  <si>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</si>
  <si>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</si>
  <si>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</si>
  <si>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</si>
  <si>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</si>
  <si>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</si>
  <si>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</si>
  <si>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</si>
  <si>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</si>
  <si>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</si>
  <si>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</si>
  <si>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</si>
  <si>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</si>
  <si>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</si>
  <si>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</si>
  <si>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</si>
  <si>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</si>
  <si>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</si>
  <si>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</si>
  <si>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</si>
  <si>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</si>
  <si>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</si>
  <si>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</si>
  <si>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</si>
  <si>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</si>
  <si>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</si>
  <si>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</si>
  <si>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</si>
  <si>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</si>
  <si>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</si>
  <si>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</si>
  <si>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</si>
  <si>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</si>
  <si>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</si>
  <si>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</si>
  <si>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</si>
  <si>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</si>
  <si>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</si>
  <si>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</si>
  <si>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</si>
  <si>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</si>
  <si>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</si>
  <si>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</si>
  <si>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</si>
  <si>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</si>
  <si>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</si>
  <si>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</si>
  <si>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</si>
  <si>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</si>
  <si>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</si>
  <si>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</si>
  <si>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</si>
  <si>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</si>
  <si>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</si>
  <si>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</si>
  <si>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</si>
  <si>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</si>
  <si>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</si>
  <si>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</si>
  <si>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</si>
  <si>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</si>
  <si>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</si>
  <si>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</si>
  <si>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</si>
  <si>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</si>
  <si>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</si>
  <si>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</si>
  <si>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</si>
  <si>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</si>
  <si>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</si>
  <si>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</si>
  <si>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</si>
  <si>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</si>
  <si>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</si>
  <si>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</si>
  <si>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</si>
  <si>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</si>
  <si>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</si>
  <si>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</si>
  <si>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</si>
  <si>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</si>
  <si>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</si>
  <si>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</si>
  <si>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</si>
  <si>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</si>
  <si>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</si>
  <si>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</si>
  <si>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</si>
  <si>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</si>
  <si>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</si>
  <si>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</si>
  <si>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</si>
  <si>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</si>
  <si>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</si>
  <si>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</si>
  <si>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</si>
  <si>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</si>
  <si>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</si>
  <si>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</si>
  <si>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</si>
  <si>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</si>
  <si>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</si>
  <si>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</si>
  <si>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Log issues as you find them during inspection — don't wait until the end.</t>
  </si>
  <si>
    <t>#</t>
  </si>
  <si>
    <t>File / Column Affected</t>
  </si>
  <si>
    <t>Issue Description</t>
  </si>
  <si>
    <t>Severity</t>
  </si>
  <si>
    <t>Recommended Action</t>
  </si>
  <si>
    <t>Status</t>
  </si>
  <si>
    <t>matches.csv / match_winner, match_winner_id</t>
  </si>
  <si>
    <t>Populated on all 1,212 rows with no blanks, but `result` records 16 ties and 9 no-results. A team is named even for the 9 matches where no result was ever reached, and for each tie the super-over winner is recorded as though it won the match. Counting wins from this column overstates them by up to 25 matches, which biases the project's main toss-versus-win question directly.</t>
  </si>
  <si>
    <t>Critical</t>
  </si>
  <si>
    <t>Never aggregate wins without filtering result = 'win'. Build a cleaned match view that sets match_winner to NULL where result &lt;&gt; 'win', and treat tie decided by super over as its own category.</t>
  </si>
  <si>
    <t>Open</t>
  </si>
  <si>
    <t>deliveries.csv / over_number, ball_number</t>
  </si>
  <si>
    <t>Both columns are ZERO-based: over_number runs 0-19 and ball_number 0-10. Any filter written as though they were 1-based silently shifts every phase boundary. Writing 'over_number &lt;= 6' for the powerplay returns seven overs instead of six, and the query still runs and still looks plausible.</t>
  </si>
  <si>
    <t>Define the phases once as powerplay 0-5, middle 6-14, death 15-19 in a shared view or CTE and reuse it everywhere. Never hardcode over ranges per query. Sanity-check that the powerplay covers exactly 6 overs per innings.</t>
  </si>
  <si>
    <t>matches.csv / venue</t>
  </si>
  <si>
    <t>The same physical ground is stored under two or three different names, so 59 distinct strings do not mean 59 grounds. Examples: 'M Chinnaswamy Stadium' / 'M.Chinnaswamy Stadium' / 'M Chinnaswamy Stadium, Bengaluru'; 'MA Chidambaram Stadium' / '..., Chepauk' / '..., Chepauk, Chennai'; 'Rajiv Gandhi International Stadium' in three forms; 'Punjab Cricket Association IS Bindra Stadium' in three forms. Home-ground and venue records split silently across the variants.</t>
  </si>
  <si>
    <t>Build a venue_canonical mapping table from the 59 raw strings to one key per physical ground, and join through it for all Area I venue analysis. Review the mapping by eye once; do not rely on fuzzy matching alone.</t>
  </si>
  <si>
    <t>venues.csv / venue, venue_id</t>
  </si>
  <si>
    <t>63 rows hold only 59 distinct names: 4 names are duplicated across 8 rows, each giving one ground two venue_ids. 'Dr DY Patil Sports Academy, Mumbai' (ids 29 and 31), 'Dubai International Cricket Stadium' (19 and 27), 'Maharaja Yadavindra Singh International Cricket Stadium, Mullanpur' (40 and 62), 'Sharjah Cricket Stadium' (20 and 26). Joining matches to venues on the name therefore fans out and duplicates match rows, inflating every venue-level count.</t>
  </si>
  <si>
    <t>De-duplicate venues to one row per ground before joining, keeping the row that has a non-null city. After joining, assert the match row count is still exactly 1,212 to prove no fan-out.</t>
  </si>
  <si>
    <t>deliveries.csv / fielders_involved</t>
  </si>
  <si>
    <t>Unusable as delivered. Values are Python list literals stored as text, e.g. "['JH Kallis']", so a direct join to players.player_name matches nothing. 3,908 of the 14,340 non-null rows hold the literal string '[None]', which is a hidden null that no IS NULL or missing-value check will catch. Some rows list two fielders, so the column is multi-valued and its 1,129 distinct values are combinations rather than 1,129 fielders.</t>
  </si>
  <si>
    <t>Parse the column: strip brackets and quotes, convert the literal '[None]' to a true NULL, then split multi-fielder rows into a separate delivery-to-fielder bridge table before attempting any per-fielder count.</t>
  </si>
  <si>
    <t>Separate from the spelling variants: several grounds were renamed during 2008-2026 and appear under both identities, so one ground is counted as two. 'Feroz Shah Kotla' is now 'Arun Jaitley Stadium'; 'Sardar Patel Stadium, Motera' is now 'Narendra Modi Stadium'; 'Subrata Roy Sahara Stadium' is the 'Maharashtra Cricket Association Stadium'; 'Sheikh Zayed Stadium' is 'Zayed Cricket Stadium, Abu Dhabi'. This is a knowledge problem, not a string-similarity one, so no amount of text matching will catch it.</t>
  </si>
  <si>
    <t>High</t>
  </si>
  <si>
    <t>Fold the rename pairs into the same canonical ground key used for issue 3, and keep the original string in its own column so season-accurate labels stay available for reporting.</t>
  </si>
  <si>
    <t>matches.csv / venue; venues.csv / venue_id</t>
  </si>
  <si>
    <t>matches.csv has no venue_id column, so the only available join to venues.csv is on free-text venue names. venue_id is consequently an orphaned key referenced by no other file, and the whole venue join depends on text that is already known to be inconsistent.</t>
  </si>
  <si>
    <t>After canonicalising the venue names, attach a surrogate venue key to the cleaned match view so all downstream queries join on an id rather than on text.</t>
  </si>
  <si>
    <t>deliveries.csv / ball_number, is_wide_ball, is_no_ball</t>
  </si>
  <si>
    <t>ball_number reaches 10, so an over is not a fixed 6 rows: wides and no-balls add deliveries. Counting rows to get balls faced, balls bowled or overs therefore produces wrong denominators for every strike rate and economy figure, while appearing to work.</t>
  </si>
  <si>
    <t>Compute legal balls as a count filtered on is_wide_ball = 0 AND is_no_ball = 0, and derive overs as legal_balls / 6.0. Never use an unfiltered COUNT(*) as a ball count.</t>
  </si>
  <si>
    <t>deliveries.csv / bowler_type; players.csv / bowl_style</t>
  </si>
  <si>
    <t>Bowling style is free text and cannot be classified as pace or spin without cleaning. One category is a single space ' ' rather than a null, so it escapes IS NULL. Capitalisation is inconsistent, making 'Right arm Fast Medium' and 'Right arm Fast medium' one style stored twice. 'Right arm Bowler' is too vague to classify. Eight values are comma-joined multi-style entries such as 'Right arm Medium, Right arm Offbreak, Legbreak', which make a single bowler both pace and spin. 21 raw values in deliveries, 23 in players.</t>
  </si>
  <si>
    <t>Build an explicit mapping covering all 23 raw strings to a pace/spin category: normalise case, convert ' ' to NULL, and apply a documented rule for multi-style bowlers such as classifying by the first listed style. Area E cannot begin until this mapping exists and is recorded.</t>
  </si>
  <si>
    <t>deliveries.csv / is_super_over, innings</t>
  </si>
  <si>
    <t>175 deliveries belong to super overs and sit in innings 3 to 6 (innings 3: 86, 4: 77, 5: 8, 6: 4). is_super_over = 1 matches those rows exactly. Left in, they distort death-overs, economy and strike-rate figures, because a super over is a tie-break rather than part of a 20-over innings. Any query assuming innings holds only 1 and 2 is silently wrong.</t>
  </si>
  <si>
    <t>Add is_super_over = 0 to all batting, bowling and phase analysis, and treat super overs as a separate population when analysing ties. State the exclusion wherever a figure is reported.</t>
  </si>
  <si>
    <t>deliveries.csv / wicket_kind, is_wicket</t>
  </si>
  <si>
    <t>is_wicket sums to 14,340, but 1,201 of those dismissals are not credited to the bowler: run out (1,176), retired hurt (19) and retired out (6). 'retired hurt' is not a dismissal at all. Computing bowler wickets as SUM(is_wicket) overstates every bowler's return.</t>
  </si>
  <si>
    <t>Define a bowler_wicket flag that excludes 'run out', 'retired hurt' and 'retired out', and state which definition each Area D or K figure uses.</t>
  </si>
  <si>
    <t>players.csv / field_pos</t>
  </si>
  <si>
    <t>The reported missing rate of 11.01% (88 nulls) badly understates the gap: a further 612 rows hold a single space ' ' instead of a null, so 700 of 799 rows carry no value and the true missing rate is 87.6%. Any profiling that trusts the null count will judge this column usable when it is not.</t>
  </si>
  <si>
    <t>Convert whitespace-only values to NULL before profiling, then re-measure the missing rate. Treat the column as unusable for general fielding analysis and derive fielders from deliveries.fielders_involved instead.</t>
  </si>
  <si>
    <t>teams.csv / team_name, team_id</t>
  </si>
  <si>
    <t>The table holds 16 names for the 14 sides that ever played, so COUNT(*) answers 16 to 'how many teams played', which is wrong. 'Rising Pune Supergiant' (id 4) and 'Rising Pune Supergiants' (id 3604) differ by a single letter and are the same franchise in its 2016 and 2017 spellings. 'Deccan Chargers' (id 1068) is the pre-2013 identity of what matches.csv records as 'Sunrisers Hyderabad'.</t>
  </si>
  <si>
    <t>Never count teams from this table. Derive the team list from the 14 ids actually used in matches, and add a franchise_id that groups the duplicate identities so historical seasons roll up correctly.</t>
  </si>
  <si>
    <t>matches.csv / overs</t>
  </si>
  <si>
    <t>Constant 20 on all 1,212 rows including rain-shortened matches, so it records the scheduled allocation rather than what was actually bowled. Used as a denominator for run rate or balls available, it gives wrong answers precisely for the shortened matches that most need care.</t>
  </si>
  <si>
    <t>Never use this column as a denominator. Derive actual overs and balls per innings from deliveries.csv, excluding wides and no-balls, and flag shortened innings explicitly.</t>
  </si>
  <si>
    <t>matches.csv / city</t>
  </si>
  <si>
    <t>4.21% missing (51 of 1,212 rows). The gap is fully recoverable rather than lost, because the venue name is present on every row and venues.csv carries the city for that ground.</t>
  </si>
  <si>
    <t>Medium</t>
  </si>
  <si>
    <t>Backfill city from venues.csv via the canonicalised venue name, then re-check for residual nulls and report how many were recovered.</t>
  </si>
  <si>
    <t>matches.csv / city; venues.csv / city</t>
  </si>
  <si>
    <t>The same city appears under more than one name, so GROUP BY city splits it. 'Bangalore' and 'Bengaluru' are one city, and 'Chandigarh' / 'Mohali' / 'New Chandigarh' overlap for the same ground. The 37 distinct strings therefore overstate the number of cities.</t>
  </si>
  <si>
    <t>Build a city canonical mapping alongside the venue mapping and apply it before any city-level aggregation.</t>
  </si>
  <si>
    <t>matches.csv / season, season_id</t>
  </si>
  <si>
    <t>The two columns disagree on 60 rows: the split season is the integer 2020 in season_id but the text '2020/21' in season. Because of that single value the season column is text, so it sorts and aggregates incorrectly and will not join to deliveries.season_id.</t>
  </si>
  <si>
    <t>Use season_id for all grouping and joining and keep season only as a display label. Document 2020/21 as a single season in any season-over-season chart for Area L.</t>
  </si>
  <si>
    <t>venues.csv / city</t>
  </si>
  <si>
    <t>3.17% missing (2 rows), and both sit inside the duplicate pairs: venue_id 19 (Dubai) and 20 (Sharjah) have a blank city while their twins 27 and 26 carry the value. The duplicate pairs also contradict each other, which makes city unreliable as a grouping key: ids 29 and 31 are the same Dr DY Patil ground but read 'Mumbai' and 'Navi Mumbai', and ids 40 and 62 read 'Mohali' and 'New Chandigarh'.</t>
  </si>
  <si>
    <t>Resolve this during the venue de-duplication in issue 4 by keeping the populated and more specific city value, and record which value was chosen for each pair.</t>
  </si>
  <si>
    <t>Beyond being 87.6% empty, the column is contaminated and inconsistent. Three rows hold a bowling style ('Right arm Fast', 'Right arm Medium', 'Slow Left arm Orthodox') where a fielding position belongs, so values from bowl_style have leaked in. The only meaningful content, the wicketkeeper role, is split across three labels: 'Wicketkeeper' (82), 'Occasional Wicketkeeper' (13) and 'Wicketkeeper Batter' (1).</t>
  </si>
  <si>
    <t>Null out the 3 leaked bowling styles, then derive a single is_wicketkeeper flag consolidating the three keeper labels, keeping 'Occasional' separately identifiable if squad-role analysis needs it.</t>
  </si>
  <si>
    <t>teams.csv / team_name</t>
  </si>
  <si>
    <t>Rebranded franchises appear under their current name only (Delhi Daredevils as 'Delhi Capitals', Kings XI Punjab as 'Punjab Kings'), so this file cannot tell you the name a team used in a given season. Ids 1068 and 3604 are orphaned and appear in no match.</t>
  </si>
  <si>
    <t>Accept the current-name normalisation for joining, but do not present pre-rebrand seasons under the current name without a footnote. Source a season-to-name history separately if Area L needs period-accurate labels.</t>
  </si>
  <si>
    <t>deliveries.csv / batter, bowler, non_striker, player_out</t>
  </si>
  <si>
    <t>All four link to players.csv by player NAME, because no player id is supplied on deliveries. All 795 distinct names currently resolve, so the join works today, but a name is a fragile key: two players sharing initials and surname would collide silently, and any source-side spelling change would break it.</t>
  </si>
  <si>
    <t>Join once to players on name to attach player_id, materialise that as a cleaned deliveries view, and assert the row count is unchanged at 288,226 to prove neither fan-out nor loss.</t>
  </si>
  <si>
    <t>deliveries.csv / season_id, batting_team, bowling_team, batsman_type</t>
  </si>
  <si>
    <t>These columns are denormalised from matches and players and repeat on every ball of a match. A COUNT here silently counts balls when the intent was matches, so a team's 'matches played' comes out in the tens of thousands, and a season's 'matches' likewise.</t>
  </si>
  <si>
    <t>Always use COUNT(DISTINCT match_id) for match-level counts taken from deliveries, and treat matches.csv as the authority for match-level attributes.</t>
  </si>
  <si>
    <t>matches.csv / team1, team2</t>
  </si>
  <si>
    <t>The two columns record only the order in which the source listed the sides. team1 is NOT the home team and NOT the team that batted first, though both are natural assumptions to make. A team also appears in either column, so any per-team aggregate reading only one of them misses roughly half of that team's matches.</t>
  </si>
  <si>
    <t>Union team1_id and team2_id, or unpivot to one row per team per match, for any per-team total. Take batting order from deliveries.innings and home advantage from venue, never from team1.</t>
  </si>
  <si>
    <t>venues.csv / venue_id</t>
  </si>
  <si>
    <t>venue_id is internally clean as a key (63 contiguous values, no duplicates or gaps) but is referenced by no other file, since matches.csv carries no venue_id. As delivered it cannot join anything, and it is not a stable ground identifier because one ground can hold two ids.</t>
  </si>
  <si>
    <t>Treat venue_id as an internal row id only. Create a canonical ground key during cleaning and use that as the join key instead.</t>
  </si>
  <si>
    <t>matches.csv / match_date</t>
  </si>
  <si>
    <t>Stored as text rather than a date type. It happens to be in ISO YYYY-MM-DD form so it sorts correctly as text, which masks the problem until date arithmetic is attempted and then fails or silently misbehaves.</t>
  </si>
  <si>
    <t>Low</t>
  </si>
  <si>
    <t>CAST to DATE in the cleaned view so date differences, month extraction and season boundaries all work correctly.</t>
  </si>
  <si>
    <t>matches.csv / balls_per_over, event_name, gender, match_type, format, overs, team_type</t>
  </si>
  <si>
    <t>Seven columns are constant across all 1,212 rows (6, 'Indian Premier League', 'male', 'T20', 'T20', 20, 'club'), so they carry no information and can explain no variation. match_type and format are exact duplicates of one another.</t>
  </si>
  <si>
    <t>Drop these from the analysis view to reduce noise, but record the constants once as the dataset's scope: men's IPL, T20, club sides, 6-ball overs. Note the separate caveat on `overs` raised in issue 14.</t>
  </si>
  <si>
    <t>matches.csv / match_number</t>
  </si>
  <si>
    <t>5.78% missing (70 rows), but the gap is systematic rather than random: play-off matches (Qualifier 1 and 2, Eliminator, Final) carry no league fixture number, across 18 of the 19 seasons. Imputing a value here would invent fixtures that never existed.</t>
  </si>
  <si>
    <t>Do not impute. Derive an is_knockout flag from the null instead, which is a useful control variable for the toss and chasing questions in Areas G and H.</t>
  </si>
  <si>
    <t>Accepted / Won't Fix</t>
  </si>
  <si>
    <t>matches.csv / win_by_runs, win_by_wickets</t>
  </si>
  <si>
    <t>Missing 54.95% and 47.11% respectively, but structurally so rather than through data loss: win_by_runs is populated only when the side batting first won, and win_by_wickets only when the chase succeeded. Verified mutually exclusive, with 0 rows holding both, and the 25 rows blank in both are exactly the 16 ties plus 9 no-results.</t>
  </si>
  <si>
    <t>Do not impute or fill with 0. Use a non-null win_by_wickets as the 'chase succeeded' flag for Area H, and always state the population when averaging either margin.</t>
  </si>
  <si>
    <t>deliveries.csv / player_out, wicket_kind, fielders_involved</t>
  </si>
  <si>
    <t>All three are 95.02% missing, which looks alarming but is structural: only 14,340 of 288,226 deliveries take a wicket. Verified internally consistent, with is_wicket, player_out and wicket_kind all at exactly 14,340.</t>
  </si>
  <si>
    <t>Document as expected and do not impute. Filter on is_wicket = 1 before any dismissal analysis so this missing rate is never reported as a defect.</t>
  </si>
  <si>
    <t>matches.csv / player_of_match, player_of_match_id</t>
  </si>
  <si>
    <t>0.74% missing (9 rows), and those 9 rows are exactly the no-result matches, so the gap is fully explained. player_of_match_id is stored as a float because of the nulls, which will render values as '46.0' if joined or displayed without casting.</t>
  </si>
  <si>
    <t>Leave the nulls in place and cast player_of_match_id to integer before joining to players.player_id.</t>
  </si>
  <si>
    <t>players.csv / player_full_name</t>
  </si>
  <si>
    <t>Holds the full legal name ('David Andrew Warner') while deliveries.csv stores the short form ('DA Warner'), so joining deliveries to players on this column matches nothing. An easy mistake, since it is the more human-readable of the two name columns.</t>
  </si>
  <si>
    <t>Join on player_name and use player_full_name only for report and dashboard labels.</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</si>
  <si>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</si>
  <si>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</si>
  <si>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</si>
  <si>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</si>
  <si>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</si>
  <si>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</si>
  <si>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</si>
  <si>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</si>
  <si>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</si>
  <si>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</si>
  <si>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</si>
  <si>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</si>
  <si>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</si>
  <si>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</si>
  <si>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</si>
  <si>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No</t>
  </si>
  <si>
    <t>IPL CRICKET ANALYTICS</t>
  </si>
  <si>
    <t>Muhammed Junaid pk</t>
  </si>
  <si>
    <t>Company-provided SQLite database (ipl.db)</t>
  </si>
  <si>
    <t>Sports Analytics (Cricket)</t>
  </si>
  <si>
    <t>To analyze IPL matches and answer cricket-related questions such as whether winning the toss increases the probability of winning a match</t>
  </si>
  <si>
    <t>44.77mb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</si>
</sst>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3">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s>
  <borders count="5">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0" fontId="2" fillId="0" borderId="0" xfId="0" applyFont="1"/>
    <xf numFmtId="0" fontId="0" fillId="0" borderId="0" xfId="0"/>
    <xf numFmtId="0" fontId="1" fillId="0" borderId="0" xfId="0" applyFont="1"/>
    <xf numFmtId="0" fontId="9" fillId="11" borderId="2" xfId="0" applyFont="1" applyFill="1" applyBorder="1" applyAlignment="1">
      <alignment horizontal="left" vertical="top" wrapText="1"/>
    </xf>
    <xf numFmtId="0" fontId="0" fillId="0" borderId="3" xfId="0" applyBorder="1"/>
    <xf numFmtId="0" fontId="0" fillId="0" borderId="4" xfId="0" applyBorder="1"/>
    <xf numFmtId="0" fontId="10" fillId="12" borderId="2" xfId="0" applyFont="1" applyFill="1" applyBorder="1" applyAlignment="1">
      <alignment horizontal="left" vertical="center" wrapText="1"/>
    </xf>
    <xf numFmtId="0" fontId="8"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13</v>
      </c>
    </row>
    <row r="3" spans="2:3" x14ac:dyDescent="0.3">
      <c r="B3" s="1" t="s">
        <v>14</v>
      </c>
    </row>
    <row r="5" spans="2:3" ht="39.6" customHeight="1" x14ac:dyDescent="0.3">
      <c r="B5" s="3" t="s">
        <v>15</v>
      </c>
      <c r="C5" s="4" t="s">
        <v>16</v>
      </c>
    </row>
    <row r="7" spans="2:3" x14ac:dyDescent="0.3">
      <c r="B7" s="3" t="s">
        <v>17</v>
      </c>
      <c r="C7" s="5" t="s">
        <v>18</v>
      </c>
    </row>
    <row r="8" spans="2:3" x14ac:dyDescent="0.3">
      <c r="B8" s="4" t="s">
        <v>19</v>
      </c>
      <c r="C8" s="4" t="s">
        <v>20</v>
      </c>
    </row>
    <row r="9" spans="2:3" ht="26.4" customHeight="1" x14ac:dyDescent="0.3">
      <c r="B9" s="4" t="s">
        <v>21</v>
      </c>
      <c r="C9" s="4" t="s">
        <v>22</v>
      </c>
    </row>
    <row r="10" spans="2:3" ht="26.4" customHeight="1" x14ac:dyDescent="0.3">
      <c r="B10" s="4" t="s">
        <v>0</v>
      </c>
      <c r="C10" s="4" t="s">
        <v>23</v>
      </c>
    </row>
    <row r="11" spans="2:3" ht="26.4" customHeight="1" x14ac:dyDescent="0.3">
      <c r="B11" s="4" t="s">
        <v>24</v>
      </c>
      <c r="C11" s="4" t="s">
        <v>25</v>
      </c>
    </row>
    <row r="12" spans="2:3" ht="26.4" customHeight="1" x14ac:dyDescent="0.3">
      <c r="B12" s="4" t="s">
        <v>26</v>
      </c>
      <c r="C12" s="4" t="s">
        <v>27</v>
      </c>
    </row>
    <row r="14" spans="2:3" ht="144.75" customHeight="1" x14ac:dyDescent="0.3">
      <c r="B14" s="3" t="s">
        <v>28</v>
      </c>
      <c r="C14" s="4" t="s">
        <v>29</v>
      </c>
    </row>
    <row r="16" spans="2:3" ht="64.5" customHeight="1" x14ac:dyDescent="0.3">
      <c r="B16" s="3" t="s">
        <v>30</v>
      </c>
      <c r="C16" s="4" t="s">
        <v>31</v>
      </c>
    </row>
    <row r="18" spans="2:3" ht="49.5" customHeight="1" x14ac:dyDescent="0.3">
      <c r="B18" s="3" t="s">
        <v>32</v>
      </c>
      <c r="C18" s="4" t="s">
        <v>33</v>
      </c>
    </row>
    <row r="20" spans="2:3" ht="64.5" customHeight="1" x14ac:dyDescent="0.3">
      <c r="B20" s="3" t="s">
        <v>34</v>
      </c>
      <c r="C20" s="4" t="s">
        <v>35</v>
      </c>
    </row>
    <row r="22" spans="2:3" ht="90" customHeight="1" x14ac:dyDescent="0.3">
      <c r="B22" s="3" t="s">
        <v>36</v>
      </c>
      <c r="C22" s="4" t="s">
        <v>37</v>
      </c>
    </row>
    <row r="24" spans="2:3" x14ac:dyDescent="0.3">
      <c r="B24" s="3" t="s">
        <v>38</v>
      </c>
    </row>
    <row r="25" spans="2:3" x14ac:dyDescent="0.3">
      <c r="B25" s="6" t="s">
        <v>39</v>
      </c>
      <c r="C25" s="5" t="s">
        <v>40</v>
      </c>
    </row>
    <row r="26" spans="2:3" ht="26.4" customHeight="1" x14ac:dyDescent="0.3">
      <c r="B26" s="7" t="s">
        <v>41</v>
      </c>
      <c r="C26" s="4" t="s">
        <v>42</v>
      </c>
    </row>
    <row r="27" spans="2:3" x14ac:dyDescent="0.3">
      <c r="B27" s="8" t="s">
        <v>43</v>
      </c>
      <c r="C27" s="5" t="s">
        <v>44</v>
      </c>
    </row>
    <row r="28" spans="2:3" ht="26.4" customHeight="1" x14ac:dyDescent="0.3">
      <c r="B28" s="9" t="s">
        <v>45</v>
      </c>
      <c r="C28" s="4" t="s">
        <v>46</v>
      </c>
    </row>
    <row r="31" spans="2:3" ht="26.4" customHeight="1" x14ac:dyDescent="0.3">
      <c r="B31" s="3" t="s">
        <v>47</v>
      </c>
      <c r="C31" s="4"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12" sqref="C12"/>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19</v>
      </c>
    </row>
    <row r="3" spans="2:3" x14ac:dyDescent="0.3">
      <c r="B3" s="1" t="s">
        <v>49</v>
      </c>
    </row>
    <row r="5" spans="2:3" ht="19.5" customHeight="1" x14ac:dyDescent="0.3">
      <c r="B5" s="10" t="s">
        <v>50</v>
      </c>
      <c r="C5" s="11" t="s">
        <v>558</v>
      </c>
    </row>
    <row r="6" spans="2:3" ht="19.5" customHeight="1" x14ac:dyDescent="0.3">
      <c r="B6" s="10" t="s">
        <v>51</v>
      </c>
      <c r="C6" s="11" t="s">
        <v>559</v>
      </c>
    </row>
    <row r="7" spans="2:3" ht="19.5" customHeight="1" x14ac:dyDescent="0.3">
      <c r="B7" s="10" t="s">
        <v>52</v>
      </c>
      <c r="C7" s="37">
        <v>46251</v>
      </c>
    </row>
    <row r="8" spans="2:3" ht="19.5" customHeight="1" x14ac:dyDescent="0.3">
      <c r="B8" s="10" t="s">
        <v>53</v>
      </c>
      <c r="C8" s="11" t="s">
        <v>560</v>
      </c>
    </row>
    <row r="9" spans="2:3" ht="19.5" customHeight="1" x14ac:dyDescent="0.3">
      <c r="B9" s="10" t="s">
        <v>54</v>
      </c>
      <c r="C9" s="11" t="s">
        <v>561</v>
      </c>
    </row>
    <row r="10" spans="2:3" ht="31.5" customHeight="1" x14ac:dyDescent="0.3">
      <c r="B10" s="10" t="s">
        <v>55</v>
      </c>
      <c r="C10" s="38" t="s">
        <v>562</v>
      </c>
    </row>
    <row r="11" spans="2:3" ht="19.5" customHeight="1" x14ac:dyDescent="0.3">
      <c r="B11" s="10" t="s">
        <v>56</v>
      </c>
      <c r="C11" s="39">
        <v>5</v>
      </c>
    </row>
    <row r="12" spans="2:3" ht="31.5" customHeight="1" x14ac:dyDescent="0.3">
      <c r="B12" s="10" t="s">
        <v>57</v>
      </c>
      <c r="C12" s="38" t="s">
        <v>563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30" activePane="bottomRight" state="frozen"/>
      <selection pane="topRight"/>
      <selection pane="bottomLeft" activeCell="A4" sqref="A4"/>
      <selection pane="bottomRight" activeCell="D7" sqref="D7:AG7"/>
    </sheetView>
  </sheetViews>
  <sheetFormatPr defaultColWidth="8.6640625" defaultRowHeight="14.4" x14ac:dyDescent="0.3"/>
  <cols>
    <col min="1" max="1" width="26" customWidth="1"/>
    <col min="2" max="33" width="30" customWidth="1"/>
  </cols>
  <sheetData>
    <row r="1" spans="1:33" ht="21" customHeight="1" x14ac:dyDescent="0.4">
      <c r="A1" s="31" t="s">
        <v>21</v>
      </c>
      <c r="B1" s="30"/>
      <c r="C1" s="30"/>
      <c r="D1" s="30"/>
      <c r="E1" s="30"/>
      <c r="F1" s="30"/>
      <c r="G1" s="30"/>
      <c r="H1" s="30"/>
      <c r="I1" s="30"/>
      <c r="J1" s="30"/>
      <c r="K1" s="30"/>
      <c r="L1" s="30"/>
      <c r="M1" s="30"/>
      <c r="N1" s="30"/>
      <c r="O1" s="30"/>
      <c r="P1" s="30"/>
      <c r="Q1" s="30"/>
      <c r="R1" s="30"/>
      <c r="S1" s="30"/>
      <c r="T1" s="30"/>
      <c r="U1" s="30"/>
    </row>
    <row r="2" spans="1:33" x14ac:dyDescent="0.3">
      <c r="A2" s="29" t="s">
        <v>58</v>
      </c>
      <c r="B2" s="30"/>
      <c r="C2" s="30"/>
      <c r="D2" s="30"/>
      <c r="E2" s="30"/>
      <c r="F2" s="30"/>
      <c r="G2" s="30"/>
      <c r="H2" s="30"/>
      <c r="I2" s="30"/>
      <c r="J2" s="30"/>
      <c r="K2" s="30"/>
      <c r="L2" s="30"/>
      <c r="M2" s="30"/>
      <c r="N2" s="30"/>
      <c r="O2" s="30"/>
      <c r="P2" s="30"/>
      <c r="Q2" s="30"/>
      <c r="R2" s="30"/>
      <c r="S2" s="30"/>
      <c r="T2" s="30"/>
      <c r="U2" s="30"/>
    </row>
    <row r="4" spans="1:33" ht="16.05" customHeight="1" x14ac:dyDescent="0.3">
      <c r="A4" s="19" t="s">
        <v>59</v>
      </c>
      <c r="B4" s="36" t="s">
        <v>60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4"/>
    </row>
    <row r="5" spans="1:33" ht="24" customHeight="1" x14ac:dyDescent="0.3">
      <c r="A5" s="19" t="s">
        <v>61</v>
      </c>
      <c r="B5" s="32" t="s">
        <v>62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4"/>
    </row>
    <row r="6" spans="1:33" ht="13.5" customHeight="1" x14ac:dyDescent="0.3">
      <c r="A6" s="19" t="s">
        <v>63</v>
      </c>
      <c r="B6" s="22" t="s">
        <v>64</v>
      </c>
      <c r="C6" s="22" t="s">
        <v>65</v>
      </c>
      <c r="D6" s="35" t="s">
        <v>66</v>
      </c>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4"/>
    </row>
    <row r="7" spans="1:33" ht="24" customHeight="1" x14ac:dyDescent="0.3">
      <c r="A7" s="19"/>
      <c r="B7" s="21" t="s">
        <v>67</v>
      </c>
      <c r="C7" s="21" t="s">
        <v>68</v>
      </c>
      <c r="D7" s="32" t="s">
        <v>557</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3" ht="16.05" customHeight="1" x14ac:dyDescent="0.3">
      <c r="A8" s="23" t="s">
        <v>69</v>
      </c>
      <c r="B8" s="36" t="s">
        <v>70</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4"/>
    </row>
    <row r="9" spans="1:33" ht="16.05" customHeight="1" x14ac:dyDescent="0.3">
      <c r="A9" s="23" t="s">
        <v>71</v>
      </c>
      <c r="B9" s="32" t="s">
        <v>72</v>
      </c>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4"/>
    </row>
    <row r="10" spans="1:33" ht="13.5" customHeight="1" x14ac:dyDescent="0.3">
      <c r="A10" s="23" t="s">
        <v>73</v>
      </c>
      <c r="B10" s="22" t="s">
        <v>74</v>
      </c>
      <c r="C10" s="22" t="s">
        <v>75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6.05" customHeight="1" x14ac:dyDescent="0.3">
      <c r="A11" s="23"/>
      <c r="B11" s="24">
        <v>1212</v>
      </c>
      <c r="C11" s="24">
        <v>28</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spans="1:33" ht="6" customHeight="1" x14ac:dyDescent="0.3"/>
    <row r="13" spans="1:33" ht="15" customHeight="1" x14ac:dyDescent="0.3">
      <c r="A13" s="25" t="s">
        <v>76</v>
      </c>
      <c r="B13" s="20" t="s">
        <v>77</v>
      </c>
      <c r="C13" s="20" t="s">
        <v>78</v>
      </c>
      <c r="D13" s="20" t="s">
        <v>79</v>
      </c>
      <c r="E13" s="20" t="s">
        <v>80</v>
      </c>
      <c r="F13" s="20" t="s">
        <v>81</v>
      </c>
      <c r="G13" s="20" t="s">
        <v>82</v>
      </c>
      <c r="H13" s="20" t="s">
        <v>83</v>
      </c>
      <c r="I13" s="20" t="s">
        <v>84</v>
      </c>
      <c r="J13" s="20" t="s">
        <v>85</v>
      </c>
      <c r="K13" s="20" t="s">
        <v>86</v>
      </c>
      <c r="L13" s="20" t="s">
        <v>87</v>
      </c>
      <c r="M13" s="20" t="s">
        <v>88</v>
      </c>
      <c r="N13" s="20" t="s">
        <v>89</v>
      </c>
      <c r="O13" s="20" t="s">
        <v>90</v>
      </c>
      <c r="P13" s="20" t="s">
        <v>91</v>
      </c>
      <c r="Q13" s="20" t="s">
        <v>92</v>
      </c>
      <c r="R13" s="20" t="s">
        <v>93</v>
      </c>
      <c r="S13" s="20" t="s">
        <v>94</v>
      </c>
      <c r="T13" s="20" t="s">
        <v>95</v>
      </c>
      <c r="U13" s="20" t="s">
        <v>96</v>
      </c>
      <c r="V13" s="20" t="s">
        <v>97</v>
      </c>
      <c r="W13" s="20" t="s">
        <v>98</v>
      </c>
      <c r="X13" s="20" t="s">
        <v>99</v>
      </c>
      <c r="Y13" s="20" t="s">
        <v>100</v>
      </c>
      <c r="Z13" s="20" t="s">
        <v>101</v>
      </c>
      <c r="AA13" s="20" t="s">
        <v>102</v>
      </c>
      <c r="AB13" s="20" t="s">
        <v>103</v>
      </c>
      <c r="AC13" s="20" t="s">
        <v>104</v>
      </c>
    </row>
    <row r="14" spans="1:33" ht="48" customHeight="1" x14ac:dyDescent="0.3">
      <c r="A14" s="25" t="s">
        <v>105</v>
      </c>
      <c r="B14" s="21" t="s">
        <v>106</v>
      </c>
      <c r="C14" s="21" t="s">
        <v>107</v>
      </c>
      <c r="D14" s="21" t="s">
        <v>108</v>
      </c>
      <c r="E14" s="21" t="s">
        <v>109</v>
      </c>
      <c r="F14" s="21" t="s">
        <v>110</v>
      </c>
      <c r="G14" s="21" t="s">
        <v>111</v>
      </c>
      <c r="H14" s="21" t="s">
        <v>112</v>
      </c>
      <c r="I14" s="21" t="s">
        <v>113</v>
      </c>
      <c r="J14" s="21" t="s">
        <v>114</v>
      </c>
      <c r="K14" s="21" t="s">
        <v>114</v>
      </c>
      <c r="L14" s="21" t="s">
        <v>115</v>
      </c>
      <c r="M14" s="21" t="s">
        <v>116</v>
      </c>
      <c r="N14" s="21" t="s">
        <v>117</v>
      </c>
      <c r="O14" s="21" t="s">
        <v>118</v>
      </c>
      <c r="P14" s="21" t="s">
        <v>119</v>
      </c>
      <c r="Q14" s="21" t="s">
        <v>120</v>
      </c>
      <c r="R14" s="21" t="s">
        <v>121</v>
      </c>
      <c r="S14" s="21" t="s">
        <v>122</v>
      </c>
      <c r="T14" s="21" t="s">
        <v>123</v>
      </c>
      <c r="U14" s="21" t="s">
        <v>124</v>
      </c>
      <c r="V14" s="21" t="s">
        <v>125</v>
      </c>
      <c r="W14" s="21" t="s">
        <v>126</v>
      </c>
      <c r="X14" s="21" t="s">
        <v>127</v>
      </c>
      <c r="Y14" s="21" t="s">
        <v>128</v>
      </c>
      <c r="Z14" s="21" t="s">
        <v>129</v>
      </c>
      <c r="AA14" s="21" t="s">
        <v>130</v>
      </c>
      <c r="AB14" s="21" t="s">
        <v>131</v>
      </c>
      <c r="AC14" s="21" t="s">
        <v>132</v>
      </c>
    </row>
    <row r="15" spans="1:33" ht="15" customHeight="1" x14ac:dyDescent="0.3">
      <c r="A15" s="25" t="s">
        <v>133</v>
      </c>
      <c r="B15" s="21" t="s">
        <v>134</v>
      </c>
      <c r="C15" s="21" t="s">
        <v>135</v>
      </c>
      <c r="D15" s="21" t="s">
        <v>136</v>
      </c>
      <c r="E15" s="21" t="s">
        <v>137</v>
      </c>
      <c r="F15" s="21" t="s">
        <v>138</v>
      </c>
      <c r="G15" s="21" t="s">
        <v>137</v>
      </c>
      <c r="H15" s="21" t="s">
        <v>136</v>
      </c>
      <c r="I15" s="21" t="s">
        <v>137</v>
      </c>
      <c r="J15" s="21" t="s">
        <v>137</v>
      </c>
      <c r="K15" s="21" t="s">
        <v>137</v>
      </c>
      <c r="L15" s="21" t="s">
        <v>136</v>
      </c>
      <c r="M15" s="21" t="s">
        <v>139</v>
      </c>
      <c r="N15" s="21" t="s">
        <v>137</v>
      </c>
      <c r="O15" s="21" t="s">
        <v>137</v>
      </c>
      <c r="P15" s="21" t="s">
        <v>137</v>
      </c>
      <c r="Q15" s="21" t="s">
        <v>137</v>
      </c>
      <c r="R15" s="21" t="s">
        <v>137</v>
      </c>
      <c r="S15" s="21" t="s">
        <v>137</v>
      </c>
      <c r="T15" s="21" t="s">
        <v>137</v>
      </c>
      <c r="U15" s="21" t="s">
        <v>136</v>
      </c>
      <c r="V15" s="21" t="s">
        <v>136</v>
      </c>
      <c r="W15" s="21" t="s">
        <v>137</v>
      </c>
      <c r="X15" s="21" t="s">
        <v>139</v>
      </c>
      <c r="Y15" s="21" t="s">
        <v>134</v>
      </c>
      <c r="Z15" s="21" t="s">
        <v>134</v>
      </c>
      <c r="AA15" s="21" t="s">
        <v>134</v>
      </c>
      <c r="AB15" s="21" t="s">
        <v>134</v>
      </c>
      <c r="AC15" s="21" t="s">
        <v>134</v>
      </c>
    </row>
    <row r="16" spans="1:33" ht="36" customHeight="1" x14ac:dyDescent="0.3">
      <c r="A16" s="25" t="s">
        <v>140</v>
      </c>
      <c r="B16" s="21" t="s">
        <v>141</v>
      </c>
      <c r="C16" s="21" t="s">
        <v>142</v>
      </c>
      <c r="D16" s="21" t="s">
        <v>143</v>
      </c>
      <c r="E16" s="21" t="s">
        <v>143</v>
      </c>
      <c r="F16" s="21" t="s">
        <v>143</v>
      </c>
      <c r="G16" s="21" t="s">
        <v>143</v>
      </c>
      <c r="H16" s="21" t="s">
        <v>143</v>
      </c>
      <c r="I16" s="21" t="s">
        <v>143</v>
      </c>
      <c r="J16" s="21" t="s">
        <v>143</v>
      </c>
      <c r="K16" s="21" t="s">
        <v>143</v>
      </c>
      <c r="L16" s="21" t="s">
        <v>143</v>
      </c>
      <c r="M16" s="21" t="s">
        <v>143</v>
      </c>
      <c r="N16" s="21" t="s">
        <v>143</v>
      </c>
      <c r="O16" s="21" t="s">
        <v>144</v>
      </c>
      <c r="P16" s="21" t="s">
        <v>145</v>
      </c>
      <c r="Q16" s="21" t="s">
        <v>145</v>
      </c>
      <c r="R16" s="21" t="s">
        <v>145</v>
      </c>
      <c r="S16" s="21" t="s">
        <v>143</v>
      </c>
      <c r="T16" s="21" t="s">
        <v>145</v>
      </c>
      <c r="U16" s="21" t="s">
        <v>143</v>
      </c>
      <c r="V16" s="21" t="s">
        <v>143</v>
      </c>
      <c r="W16" s="21" t="s">
        <v>143</v>
      </c>
      <c r="X16" s="21" t="s">
        <v>146</v>
      </c>
      <c r="Y16" s="21" t="s">
        <v>147</v>
      </c>
      <c r="Z16" s="21" t="s">
        <v>147</v>
      </c>
      <c r="AA16" s="21" t="s">
        <v>147</v>
      </c>
      <c r="AB16" s="21" t="s">
        <v>147</v>
      </c>
      <c r="AC16" s="21" t="s">
        <v>148</v>
      </c>
    </row>
    <row r="17" spans="1:33" ht="48" customHeight="1" x14ac:dyDescent="0.3">
      <c r="A17" s="26" t="s">
        <v>149</v>
      </c>
      <c r="B17" s="21" t="s">
        <v>150</v>
      </c>
      <c r="C17" s="21" t="s">
        <v>151</v>
      </c>
      <c r="D17" s="21" t="s">
        <v>152</v>
      </c>
      <c r="E17" s="21" t="s">
        <v>153</v>
      </c>
      <c r="F17" s="21" t="s">
        <v>154</v>
      </c>
      <c r="G17" s="21" t="s">
        <v>155</v>
      </c>
      <c r="H17" s="21" t="s">
        <v>156</v>
      </c>
      <c r="I17" s="21" t="s">
        <v>157</v>
      </c>
      <c r="J17" s="21" t="s">
        <v>158</v>
      </c>
      <c r="K17" s="21" t="s">
        <v>158</v>
      </c>
      <c r="L17" s="21" t="s">
        <v>159</v>
      </c>
      <c r="M17" s="21" t="s">
        <v>151</v>
      </c>
      <c r="N17" s="21" t="s">
        <v>160</v>
      </c>
      <c r="O17" s="21" t="s">
        <v>161</v>
      </c>
      <c r="P17" s="21" t="s">
        <v>162</v>
      </c>
      <c r="Q17" s="21" t="s">
        <v>163</v>
      </c>
      <c r="R17" s="21" t="s">
        <v>164</v>
      </c>
      <c r="S17" s="21" t="s">
        <v>165</v>
      </c>
      <c r="T17" s="21" t="s">
        <v>166</v>
      </c>
      <c r="U17" s="21" t="s">
        <v>167</v>
      </c>
      <c r="V17" s="21" t="s">
        <v>168</v>
      </c>
      <c r="W17" s="21" t="s">
        <v>169</v>
      </c>
      <c r="X17" s="21" t="s">
        <v>170</v>
      </c>
      <c r="Y17" s="21" t="s">
        <v>171</v>
      </c>
      <c r="Z17" s="21" t="s">
        <v>172</v>
      </c>
      <c r="AA17" s="21" t="s">
        <v>173</v>
      </c>
      <c r="AB17" s="21" t="s">
        <v>174</v>
      </c>
      <c r="AC17" s="21" t="s">
        <v>175</v>
      </c>
    </row>
    <row r="18" spans="1:33" ht="15" customHeight="1" x14ac:dyDescent="0.3">
      <c r="A18" s="26" t="s">
        <v>176</v>
      </c>
      <c r="B18" s="24">
        <v>1212</v>
      </c>
      <c r="C18" s="24">
        <v>19</v>
      </c>
      <c r="D18" s="24">
        <v>1</v>
      </c>
      <c r="E18" s="24">
        <v>37</v>
      </c>
      <c r="F18" s="24">
        <v>920</v>
      </c>
      <c r="G18" s="24">
        <v>1</v>
      </c>
      <c r="H18" s="24">
        <v>72</v>
      </c>
      <c r="I18" s="24">
        <v>1</v>
      </c>
      <c r="J18" s="24">
        <v>1</v>
      </c>
      <c r="K18" s="24">
        <v>1</v>
      </c>
      <c r="L18" s="24">
        <v>1</v>
      </c>
      <c r="M18" s="24">
        <v>19</v>
      </c>
      <c r="N18" s="24">
        <v>1</v>
      </c>
      <c r="O18" s="24">
        <v>59</v>
      </c>
      <c r="P18" s="24">
        <v>14</v>
      </c>
      <c r="Q18" s="24">
        <v>14</v>
      </c>
      <c r="R18" s="24">
        <v>14</v>
      </c>
      <c r="S18" s="24">
        <v>2</v>
      </c>
      <c r="T18" s="24">
        <v>14</v>
      </c>
      <c r="U18" s="24">
        <v>103</v>
      </c>
      <c r="V18" s="24">
        <v>10</v>
      </c>
      <c r="W18" s="24">
        <v>3</v>
      </c>
      <c r="X18" s="24">
        <v>318</v>
      </c>
      <c r="Y18" s="24">
        <v>14</v>
      </c>
      <c r="Z18" s="24">
        <v>14</v>
      </c>
      <c r="AA18" s="24">
        <v>14</v>
      </c>
      <c r="AB18" s="24">
        <v>14</v>
      </c>
      <c r="AC18" s="24">
        <v>318</v>
      </c>
    </row>
    <row r="19" spans="1:33" ht="120" customHeight="1" x14ac:dyDescent="0.3">
      <c r="A19" s="26" t="s">
        <v>177</v>
      </c>
      <c r="B19" s="21" t="s">
        <v>178</v>
      </c>
      <c r="C19" s="21" t="s">
        <v>179</v>
      </c>
      <c r="D19" s="21" t="s">
        <v>180</v>
      </c>
      <c r="E19" s="21" t="s">
        <v>178</v>
      </c>
      <c r="F19" s="21" t="s">
        <v>178</v>
      </c>
      <c r="G19" s="21" t="s">
        <v>181</v>
      </c>
      <c r="H19" s="21" t="s">
        <v>178</v>
      </c>
      <c r="I19" s="21" t="s">
        <v>182</v>
      </c>
      <c r="J19" s="21" t="s">
        <v>183</v>
      </c>
      <c r="K19" s="21" t="s">
        <v>183</v>
      </c>
      <c r="L19" s="21" t="s">
        <v>184</v>
      </c>
      <c r="M19" s="21" t="s">
        <v>185</v>
      </c>
      <c r="N19" s="21" t="s">
        <v>186</v>
      </c>
      <c r="O19" s="21" t="s">
        <v>178</v>
      </c>
      <c r="P19" s="21" t="s">
        <v>187</v>
      </c>
      <c r="Q19" s="21" t="s">
        <v>188</v>
      </c>
      <c r="R19" s="21" t="s">
        <v>188</v>
      </c>
      <c r="S19" s="21" t="s">
        <v>189</v>
      </c>
      <c r="T19" s="21" t="s">
        <v>188</v>
      </c>
      <c r="U19" s="21" t="s">
        <v>178</v>
      </c>
      <c r="V19" s="21" t="s">
        <v>190</v>
      </c>
      <c r="W19" s="21" t="s">
        <v>191</v>
      </c>
      <c r="X19" s="21" t="s">
        <v>178</v>
      </c>
      <c r="Y19" s="21" t="s">
        <v>192</v>
      </c>
      <c r="Z19" s="21" t="s">
        <v>193</v>
      </c>
      <c r="AA19" s="21" t="s">
        <v>193</v>
      </c>
      <c r="AB19" s="21" t="s">
        <v>193</v>
      </c>
      <c r="AC19" s="21" t="s">
        <v>178</v>
      </c>
    </row>
    <row r="20" spans="1:33" ht="15" customHeight="1" x14ac:dyDescent="0.3">
      <c r="A20" s="26" t="s">
        <v>194</v>
      </c>
      <c r="B20" s="21" t="s">
        <v>195</v>
      </c>
      <c r="C20" s="21" t="s">
        <v>195</v>
      </c>
      <c r="D20" s="21" t="s">
        <v>195</v>
      </c>
      <c r="E20" s="21" t="s">
        <v>196</v>
      </c>
      <c r="F20" s="21" t="s">
        <v>195</v>
      </c>
      <c r="G20" s="21" t="s">
        <v>195</v>
      </c>
      <c r="H20" s="21" t="s">
        <v>197</v>
      </c>
      <c r="I20" s="21" t="s">
        <v>195</v>
      </c>
      <c r="J20" s="21" t="s">
        <v>195</v>
      </c>
      <c r="K20" s="21" t="s">
        <v>195</v>
      </c>
      <c r="L20" s="21" t="s">
        <v>195</v>
      </c>
      <c r="M20" s="21" t="s">
        <v>195</v>
      </c>
      <c r="N20" s="21" t="s">
        <v>195</v>
      </c>
      <c r="O20" s="21" t="s">
        <v>195</v>
      </c>
      <c r="P20" s="21" t="s">
        <v>195</v>
      </c>
      <c r="Q20" s="21" t="s">
        <v>195</v>
      </c>
      <c r="R20" s="21" t="s">
        <v>195</v>
      </c>
      <c r="S20" s="21" t="s">
        <v>195</v>
      </c>
      <c r="T20" s="21" t="s">
        <v>195</v>
      </c>
      <c r="U20" s="21" t="s">
        <v>198</v>
      </c>
      <c r="V20" s="21" t="s">
        <v>199</v>
      </c>
      <c r="W20" s="21" t="s">
        <v>195</v>
      </c>
      <c r="X20" s="21" t="s">
        <v>200</v>
      </c>
      <c r="Y20" s="21" t="s">
        <v>195</v>
      </c>
      <c r="Z20" s="21" t="s">
        <v>195</v>
      </c>
      <c r="AA20" s="21" t="s">
        <v>195</v>
      </c>
      <c r="AB20" s="21" t="s">
        <v>195</v>
      </c>
      <c r="AC20" s="21" t="s">
        <v>200</v>
      </c>
    </row>
    <row r="21" spans="1:33" ht="372" customHeight="1" x14ac:dyDescent="0.3">
      <c r="A21" s="26" t="s">
        <v>201</v>
      </c>
      <c r="B21" s="21" t="s">
        <v>202</v>
      </c>
      <c r="C21" s="21" t="s">
        <v>203</v>
      </c>
      <c r="D21" s="21" t="s">
        <v>204</v>
      </c>
      <c r="E21" s="21" t="s">
        <v>205</v>
      </c>
      <c r="F21" s="21" t="s">
        <v>206</v>
      </c>
      <c r="G21" s="21" t="s">
        <v>207</v>
      </c>
      <c r="H21" s="21" t="s">
        <v>208</v>
      </c>
      <c r="I21" s="21" t="s">
        <v>209</v>
      </c>
      <c r="J21" s="21" t="s">
        <v>210</v>
      </c>
      <c r="K21" s="21" t="s">
        <v>211</v>
      </c>
      <c r="L21" s="21" t="s">
        <v>212</v>
      </c>
      <c r="M21" s="21" t="s">
        <v>213</v>
      </c>
      <c r="N21" s="21" t="s">
        <v>214</v>
      </c>
      <c r="O21" s="21" t="s">
        <v>215</v>
      </c>
      <c r="P21" s="21" t="s">
        <v>216</v>
      </c>
      <c r="Q21" s="21" t="s">
        <v>217</v>
      </c>
      <c r="R21" s="21" t="s">
        <v>218</v>
      </c>
      <c r="S21" s="21" t="s">
        <v>219</v>
      </c>
      <c r="T21" s="21" t="s">
        <v>220</v>
      </c>
      <c r="U21" s="21" t="s">
        <v>221</v>
      </c>
      <c r="V21" s="21" t="s">
        <v>222</v>
      </c>
      <c r="W21" s="21" t="s">
        <v>223</v>
      </c>
      <c r="X21" s="21" t="s">
        <v>224</v>
      </c>
      <c r="Y21" s="21" t="s">
        <v>225</v>
      </c>
      <c r="Z21" s="21" t="s">
        <v>226</v>
      </c>
      <c r="AA21" s="21" t="s">
        <v>227</v>
      </c>
      <c r="AB21" s="21" t="s">
        <v>228</v>
      </c>
      <c r="AC21" s="21" t="s">
        <v>229</v>
      </c>
    </row>
    <row r="25" spans="1:33" ht="15" thickBot="1" x14ac:dyDescent="0.35"/>
    <row r="26" spans="1:33" ht="16.05" customHeight="1" x14ac:dyDescent="0.3">
      <c r="A26" s="19" t="s">
        <v>59</v>
      </c>
      <c r="B26" s="36" t="s">
        <v>230</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4"/>
    </row>
    <row r="27" spans="1:33" ht="36" customHeight="1" x14ac:dyDescent="0.3">
      <c r="A27" s="19" t="s">
        <v>61</v>
      </c>
      <c r="B27" s="32" t="s">
        <v>231</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4"/>
    </row>
    <row r="28" spans="1:33" ht="13.5" customHeight="1" x14ac:dyDescent="0.3">
      <c r="A28" s="19" t="s">
        <v>63</v>
      </c>
      <c r="B28" s="22" t="s">
        <v>64</v>
      </c>
      <c r="C28" s="22" t="s">
        <v>65</v>
      </c>
      <c r="D28" s="35" t="s">
        <v>66</v>
      </c>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4"/>
    </row>
    <row r="29" spans="1:33" ht="24" customHeight="1" thickBot="1" x14ac:dyDescent="0.35">
      <c r="A29" s="19"/>
      <c r="B29" s="21" t="s">
        <v>67</v>
      </c>
      <c r="C29" s="21" t="s">
        <v>232</v>
      </c>
      <c r="D29" s="32" t="s">
        <v>233</v>
      </c>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3" ht="16.05" customHeight="1" x14ac:dyDescent="0.3">
      <c r="A30" s="23" t="s">
        <v>69</v>
      </c>
      <c r="B30" s="36" t="s">
        <v>234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4"/>
    </row>
    <row r="31" spans="1:33" ht="24" customHeight="1" x14ac:dyDescent="0.3">
      <c r="A31" s="23" t="s">
        <v>71</v>
      </c>
      <c r="B31" s="32" t="s">
        <v>235</v>
      </c>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4"/>
    </row>
    <row r="32" spans="1:33" ht="13.5" customHeight="1" x14ac:dyDescent="0.3">
      <c r="A32" s="23" t="s">
        <v>73</v>
      </c>
      <c r="B32" s="22" t="s">
        <v>74</v>
      </c>
      <c r="C32" s="22" t="s">
        <v>75</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16.05" customHeight="1" x14ac:dyDescent="0.3">
      <c r="A33" s="23"/>
      <c r="B33" s="24">
        <v>288226</v>
      </c>
      <c r="C33" s="24">
        <v>32</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spans="1:33" ht="6" customHeight="1" x14ac:dyDescent="0.3"/>
    <row r="35" spans="1:33" ht="15" customHeight="1" x14ac:dyDescent="0.3">
      <c r="A35" s="25" t="s">
        <v>76</v>
      </c>
      <c r="B35" s="20" t="s">
        <v>78</v>
      </c>
      <c r="C35" s="20" t="s">
        <v>77</v>
      </c>
      <c r="D35" s="20" t="s">
        <v>236</v>
      </c>
      <c r="E35" s="20" t="s">
        <v>237</v>
      </c>
      <c r="F35" s="20" t="s">
        <v>238</v>
      </c>
      <c r="G35" s="20" t="s">
        <v>239</v>
      </c>
      <c r="H35" s="20" t="s">
        <v>240</v>
      </c>
      <c r="I35" s="20" t="s">
        <v>241</v>
      </c>
      <c r="J35" s="20" t="s">
        <v>242</v>
      </c>
      <c r="K35" s="20" t="s">
        <v>243</v>
      </c>
      <c r="L35" s="20" t="s">
        <v>244</v>
      </c>
      <c r="M35" s="20" t="s">
        <v>245</v>
      </c>
      <c r="N35" s="20" t="s">
        <v>246</v>
      </c>
      <c r="O35" s="20" t="s">
        <v>247</v>
      </c>
      <c r="P35" s="20" t="s">
        <v>248</v>
      </c>
      <c r="Q35" s="20" t="s">
        <v>249</v>
      </c>
      <c r="R35" s="20" t="s">
        <v>250</v>
      </c>
      <c r="S35" s="20" t="s">
        <v>251</v>
      </c>
      <c r="T35" s="20" t="s">
        <v>252</v>
      </c>
      <c r="U35" s="20" t="s">
        <v>253</v>
      </c>
      <c r="V35" s="20" t="s">
        <v>254</v>
      </c>
      <c r="W35" s="20" t="s">
        <v>255</v>
      </c>
      <c r="X35" s="20" t="s">
        <v>256</v>
      </c>
      <c r="Y35" s="20" t="s">
        <v>257</v>
      </c>
      <c r="Z35" s="20" t="s">
        <v>258</v>
      </c>
      <c r="AA35" s="20" t="s">
        <v>259</v>
      </c>
      <c r="AB35" s="20" t="s">
        <v>260</v>
      </c>
      <c r="AC35" s="20" t="s">
        <v>261</v>
      </c>
      <c r="AD35" s="20" t="s">
        <v>262</v>
      </c>
      <c r="AE35" s="20" t="s">
        <v>263</v>
      </c>
      <c r="AF35" s="20" t="s">
        <v>264</v>
      </c>
      <c r="AG35" s="20" t="s">
        <v>265</v>
      </c>
    </row>
    <row r="36" spans="1:33" ht="24" customHeight="1" x14ac:dyDescent="0.3">
      <c r="A36" s="25" t="s">
        <v>105</v>
      </c>
      <c r="B36" s="21" t="s">
        <v>266</v>
      </c>
      <c r="C36" s="21" t="s">
        <v>267</v>
      </c>
      <c r="D36" s="21" t="s">
        <v>268</v>
      </c>
      <c r="E36" s="21" t="s">
        <v>269</v>
      </c>
      <c r="F36" s="21" t="s">
        <v>270</v>
      </c>
      <c r="G36" s="21" t="s">
        <v>271</v>
      </c>
      <c r="H36" s="21" t="s">
        <v>272</v>
      </c>
      <c r="I36" s="21" t="s">
        <v>273</v>
      </c>
      <c r="J36" s="21" t="s">
        <v>274</v>
      </c>
      <c r="K36" s="21" t="s">
        <v>275</v>
      </c>
      <c r="L36" s="21" t="s">
        <v>276</v>
      </c>
      <c r="M36" s="21" t="s">
        <v>277</v>
      </c>
      <c r="N36" s="21" t="s">
        <v>278</v>
      </c>
      <c r="O36" s="21" t="s">
        <v>279</v>
      </c>
      <c r="P36" s="21" t="s">
        <v>280</v>
      </c>
      <c r="Q36" s="21" t="s">
        <v>281</v>
      </c>
      <c r="R36" s="21" t="s">
        <v>282</v>
      </c>
      <c r="S36" s="21" t="s">
        <v>283</v>
      </c>
      <c r="T36" s="21" t="s">
        <v>284</v>
      </c>
      <c r="U36" s="21" t="s">
        <v>285</v>
      </c>
      <c r="V36" s="21" t="s">
        <v>286</v>
      </c>
      <c r="W36" s="21" t="s">
        <v>287</v>
      </c>
      <c r="X36" s="21" t="s">
        <v>288</v>
      </c>
      <c r="Y36" s="21" t="s">
        <v>289</v>
      </c>
      <c r="Z36" s="21" t="s">
        <v>290</v>
      </c>
      <c r="AA36" s="21" t="s">
        <v>291</v>
      </c>
      <c r="AB36" s="21" t="s">
        <v>292</v>
      </c>
      <c r="AC36" s="21" t="s">
        <v>293</v>
      </c>
      <c r="AD36" s="21" t="s">
        <v>294</v>
      </c>
      <c r="AE36" s="21" t="s">
        <v>295</v>
      </c>
      <c r="AF36" s="21" t="s">
        <v>296</v>
      </c>
      <c r="AG36" s="21" t="s">
        <v>297</v>
      </c>
    </row>
    <row r="37" spans="1:33" ht="15" customHeight="1" x14ac:dyDescent="0.3">
      <c r="A37" s="25" t="s">
        <v>133</v>
      </c>
      <c r="B37" s="21" t="s">
        <v>135</v>
      </c>
      <c r="C37" s="21" t="s">
        <v>134</v>
      </c>
      <c r="D37" s="21" t="s">
        <v>139</v>
      </c>
      <c r="E37" s="21" t="s">
        <v>139</v>
      </c>
      <c r="F37" s="21" t="s">
        <v>139</v>
      </c>
      <c r="G37" s="21" t="s">
        <v>136</v>
      </c>
      <c r="H37" s="21" t="s">
        <v>136</v>
      </c>
      <c r="I37" s="21" t="s">
        <v>136</v>
      </c>
      <c r="J37" s="21" t="s">
        <v>136</v>
      </c>
      <c r="K37" s="21" t="s">
        <v>136</v>
      </c>
      <c r="L37" s="21" t="s">
        <v>137</v>
      </c>
      <c r="M37" s="21" t="s">
        <v>137</v>
      </c>
      <c r="N37" s="21" t="s">
        <v>139</v>
      </c>
      <c r="O37" s="21" t="s">
        <v>298</v>
      </c>
      <c r="P37" s="21" t="s">
        <v>299</v>
      </c>
      <c r="Q37" s="21" t="s">
        <v>299</v>
      </c>
      <c r="R37" s="21" t="s">
        <v>299</v>
      </c>
      <c r="S37" s="21" t="s">
        <v>299</v>
      </c>
      <c r="T37" s="21" t="s">
        <v>299</v>
      </c>
      <c r="U37" s="21" t="s">
        <v>299</v>
      </c>
      <c r="V37" s="21" t="s">
        <v>136</v>
      </c>
      <c r="W37" s="21" t="s">
        <v>136</v>
      </c>
      <c r="X37" s="21" t="s">
        <v>136</v>
      </c>
      <c r="Y37" s="21" t="s">
        <v>136</v>
      </c>
      <c r="Z37" s="21" t="s">
        <v>136</v>
      </c>
      <c r="AA37" s="21" t="s">
        <v>137</v>
      </c>
      <c r="AB37" s="21" t="s">
        <v>299</v>
      </c>
      <c r="AC37" s="21" t="s">
        <v>136</v>
      </c>
      <c r="AD37" s="21" t="s">
        <v>134</v>
      </c>
      <c r="AE37" s="21" t="s">
        <v>134</v>
      </c>
      <c r="AF37" s="21" t="s">
        <v>137</v>
      </c>
      <c r="AG37" s="21" t="s">
        <v>137</v>
      </c>
    </row>
    <row r="38" spans="1:33" ht="24" customHeight="1" x14ac:dyDescent="0.3">
      <c r="A38" s="25" t="s">
        <v>140</v>
      </c>
      <c r="B38" s="21" t="s">
        <v>300</v>
      </c>
      <c r="C38" s="21" t="s">
        <v>301</v>
      </c>
      <c r="D38" s="21" t="s">
        <v>302</v>
      </c>
      <c r="E38" s="21" t="s">
        <v>302</v>
      </c>
      <c r="F38" s="21" t="s">
        <v>302</v>
      </c>
      <c r="G38" s="21" t="s">
        <v>143</v>
      </c>
      <c r="H38" s="21" t="s">
        <v>143</v>
      </c>
      <c r="I38" s="21" t="s">
        <v>143</v>
      </c>
      <c r="J38" s="21" t="s">
        <v>143</v>
      </c>
      <c r="K38" s="21" t="s">
        <v>143</v>
      </c>
      <c r="L38" s="21" t="s">
        <v>143</v>
      </c>
      <c r="M38" s="21" t="s">
        <v>143</v>
      </c>
      <c r="N38" s="21" t="s">
        <v>302</v>
      </c>
      <c r="O38" s="21" t="s">
        <v>303</v>
      </c>
      <c r="P38" s="21" t="s">
        <v>143</v>
      </c>
      <c r="Q38" s="21" t="s">
        <v>143</v>
      </c>
      <c r="R38" s="21" t="s">
        <v>143</v>
      </c>
      <c r="S38" s="21" t="s">
        <v>143</v>
      </c>
      <c r="T38" s="21" t="s">
        <v>143</v>
      </c>
      <c r="U38" s="21" t="s">
        <v>143</v>
      </c>
      <c r="V38" s="21" t="s">
        <v>143</v>
      </c>
      <c r="W38" s="21" t="s">
        <v>143</v>
      </c>
      <c r="X38" s="21" t="s">
        <v>143</v>
      </c>
      <c r="Y38" s="21" t="s">
        <v>143</v>
      </c>
      <c r="Z38" s="21" t="s">
        <v>143</v>
      </c>
      <c r="AA38" s="21" t="s">
        <v>143</v>
      </c>
      <c r="AB38" s="21" t="s">
        <v>143</v>
      </c>
      <c r="AC38" s="21" t="s">
        <v>143</v>
      </c>
      <c r="AD38" s="21" t="s">
        <v>147</v>
      </c>
      <c r="AE38" s="21" t="s">
        <v>147</v>
      </c>
      <c r="AF38" s="21" t="s">
        <v>145</v>
      </c>
      <c r="AG38" s="21" t="s">
        <v>145</v>
      </c>
    </row>
    <row r="39" spans="1:33" ht="36" customHeight="1" x14ac:dyDescent="0.3">
      <c r="A39" s="26" t="s">
        <v>149</v>
      </c>
      <c r="B39" s="21" t="s">
        <v>304</v>
      </c>
      <c r="C39" s="21" t="s">
        <v>305</v>
      </c>
      <c r="D39" s="21" t="s">
        <v>306</v>
      </c>
      <c r="E39" s="21" t="s">
        <v>307</v>
      </c>
      <c r="F39" s="21" t="s">
        <v>308</v>
      </c>
      <c r="G39" s="21" t="s">
        <v>309</v>
      </c>
      <c r="H39" s="21" t="s">
        <v>310</v>
      </c>
      <c r="I39" s="21" t="s">
        <v>309</v>
      </c>
      <c r="J39" s="21" t="s">
        <v>311</v>
      </c>
      <c r="K39" s="21" t="s">
        <v>311</v>
      </c>
      <c r="L39" s="21" t="s">
        <v>312</v>
      </c>
      <c r="M39" s="21" t="s">
        <v>313</v>
      </c>
      <c r="N39" s="21" t="s">
        <v>314</v>
      </c>
      <c r="O39" s="21" t="s">
        <v>315</v>
      </c>
      <c r="P39" s="21" t="s">
        <v>309</v>
      </c>
      <c r="Q39" s="21" t="s">
        <v>316</v>
      </c>
      <c r="R39" s="21" t="s">
        <v>309</v>
      </c>
      <c r="S39" s="21" t="s">
        <v>317</v>
      </c>
      <c r="T39" s="21" t="s">
        <v>309</v>
      </c>
      <c r="U39" s="21" t="s">
        <v>309</v>
      </c>
      <c r="V39" s="21" t="s">
        <v>316</v>
      </c>
      <c r="W39" s="21" t="s">
        <v>309</v>
      </c>
      <c r="X39" s="21" t="s">
        <v>317</v>
      </c>
      <c r="Y39" s="21" t="s">
        <v>309</v>
      </c>
      <c r="Z39" s="21" t="s">
        <v>309</v>
      </c>
      <c r="AA39" s="21" t="s">
        <v>318</v>
      </c>
      <c r="AB39" s="21" t="s">
        <v>309</v>
      </c>
      <c r="AC39" s="21" t="s">
        <v>319</v>
      </c>
      <c r="AD39" s="21" t="s">
        <v>152</v>
      </c>
      <c r="AE39" s="21" t="s">
        <v>319</v>
      </c>
      <c r="AF39" s="21" t="s">
        <v>320</v>
      </c>
      <c r="AG39" s="21" t="s">
        <v>321</v>
      </c>
    </row>
    <row r="40" spans="1:33" ht="15" customHeight="1" x14ac:dyDescent="0.3">
      <c r="A40" s="26" t="s">
        <v>176</v>
      </c>
      <c r="B40" s="24">
        <v>19</v>
      </c>
      <c r="C40" s="24">
        <v>1212</v>
      </c>
      <c r="D40" s="24">
        <v>727</v>
      </c>
      <c r="E40" s="24">
        <v>568</v>
      </c>
      <c r="F40" s="24">
        <v>715</v>
      </c>
      <c r="G40" s="24">
        <v>20</v>
      </c>
      <c r="H40" s="24">
        <v>11</v>
      </c>
      <c r="I40" s="24">
        <v>7</v>
      </c>
      <c r="J40" s="24">
        <v>7</v>
      </c>
      <c r="K40" s="24">
        <v>8</v>
      </c>
      <c r="L40" s="24">
        <v>2</v>
      </c>
      <c r="M40" s="24">
        <v>21</v>
      </c>
      <c r="N40" s="24">
        <v>676</v>
      </c>
      <c r="O40" s="24">
        <v>1129</v>
      </c>
      <c r="P40" s="24">
        <v>2</v>
      </c>
      <c r="Q40" s="24">
        <v>2</v>
      </c>
      <c r="R40" s="24">
        <v>2</v>
      </c>
      <c r="S40" s="24">
        <v>2</v>
      </c>
      <c r="T40" s="24">
        <v>2</v>
      </c>
      <c r="U40" s="24">
        <v>2</v>
      </c>
      <c r="V40" s="24">
        <v>6</v>
      </c>
      <c r="W40" s="24">
        <v>5</v>
      </c>
      <c r="X40" s="24">
        <v>6</v>
      </c>
      <c r="Y40" s="24">
        <v>5</v>
      </c>
      <c r="Z40" s="24">
        <v>2</v>
      </c>
      <c r="AA40" s="24">
        <v>10</v>
      </c>
      <c r="AB40" s="24">
        <v>2</v>
      </c>
      <c r="AC40" s="24">
        <v>6</v>
      </c>
      <c r="AD40" s="24">
        <v>14</v>
      </c>
      <c r="AE40" s="24">
        <v>14</v>
      </c>
      <c r="AF40" s="24">
        <v>14</v>
      </c>
      <c r="AG40" s="24">
        <v>14</v>
      </c>
    </row>
    <row r="41" spans="1:33" ht="60" customHeight="1" x14ac:dyDescent="0.3">
      <c r="A41" s="26" t="s">
        <v>177</v>
      </c>
      <c r="B41" s="21" t="s">
        <v>179</v>
      </c>
      <c r="C41" s="21" t="s">
        <v>178</v>
      </c>
      <c r="D41" s="21" t="s">
        <v>178</v>
      </c>
      <c r="E41" s="21" t="s">
        <v>178</v>
      </c>
      <c r="F41" s="21" t="s">
        <v>178</v>
      </c>
      <c r="G41" s="21" t="s">
        <v>322</v>
      </c>
      <c r="H41" s="21" t="s">
        <v>323</v>
      </c>
      <c r="I41" s="21" t="s">
        <v>324</v>
      </c>
      <c r="J41" s="21" t="s">
        <v>325</v>
      </c>
      <c r="K41" s="21" t="s">
        <v>326</v>
      </c>
      <c r="L41" s="21" t="s">
        <v>327</v>
      </c>
      <c r="M41" s="21" t="s">
        <v>178</v>
      </c>
      <c r="N41" s="21" t="s">
        <v>178</v>
      </c>
      <c r="O41" s="21" t="s">
        <v>178</v>
      </c>
      <c r="P41" s="21" t="s">
        <v>328</v>
      </c>
      <c r="Q41" s="21" t="s">
        <v>328</v>
      </c>
      <c r="R41" s="21" t="s">
        <v>328</v>
      </c>
      <c r="S41" s="21" t="s">
        <v>328</v>
      </c>
      <c r="T41" s="21" t="s">
        <v>328</v>
      </c>
      <c r="U41" s="21" t="s">
        <v>328</v>
      </c>
      <c r="V41" s="21" t="s">
        <v>329</v>
      </c>
      <c r="W41" s="21" t="s">
        <v>330</v>
      </c>
      <c r="X41" s="21" t="s">
        <v>329</v>
      </c>
      <c r="Y41" s="21" t="s">
        <v>331</v>
      </c>
      <c r="Z41" s="21" t="s">
        <v>332</v>
      </c>
      <c r="AA41" s="21" t="s">
        <v>333</v>
      </c>
      <c r="AB41" s="21" t="s">
        <v>328</v>
      </c>
      <c r="AC41" s="21" t="s">
        <v>334</v>
      </c>
      <c r="AD41" s="21" t="s">
        <v>192</v>
      </c>
      <c r="AE41" s="21" t="s">
        <v>335</v>
      </c>
      <c r="AF41" s="21" t="s">
        <v>336</v>
      </c>
      <c r="AG41" s="21" t="s">
        <v>336</v>
      </c>
    </row>
    <row r="42" spans="1:33" ht="15" customHeight="1" x14ac:dyDescent="0.3">
      <c r="A42" s="26" t="s">
        <v>194</v>
      </c>
      <c r="B42" s="21" t="s">
        <v>195</v>
      </c>
      <c r="C42" s="21" t="s">
        <v>195</v>
      </c>
      <c r="D42" s="21" t="s">
        <v>195</v>
      </c>
      <c r="E42" s="21" t="s">
        <v>195</v>
      </c>
      <c r="F42" s="21" t="s">
        <v>195</v>
      </c>
      <c r="G42" s="21" t="s">
        <v>195</v>
      </c>
      <c r="H42" s="21" t="s">
        <v>195</v>
      </c>
      <c r="I42" s="21" t="s">
        <v>195</v>
      </c>
      <c r="J42" s="21" t="s">
        <v>195</v>
      </c>
      <c r="K42" s="21" t="s">
        <v>195</v>
      </c>
      <c r="L42" s="21" t="s">
        <v>337</v>
      </c>
      <c r="M42" s="21" t="s">
        <v>338</v>
      </c>
      <c r="N42" s="21" t="s">
        <v>339</v>
      </c>
      <c r="O42" s="21" t="s">
        <v>339</v>
      </c>
      <c r="P42" s="21" t="s">
        <v>195</v>
      </c>
      <c r="Q42" s="21" t="s">
        <v>195</v>
      </c>
      <c r="R42" s="21" t="s">
        <v>195</v>
      </c>
      <c r="S42" s="21" t="s">
        <v>195</v>
      </c>
      <c r="T42" s="21" t="s">
        <v>195</v>
      </c>
      <c r="U42" s="21" t="s">
        <v>195</v>
      </c>
      <c r="V42" s="21" t="s">
        <v>195</v>
      </c>
      <c r="W42" s="21" t="s">
        <v>195</v>
      </c>
      <c r="X42" s="21" t="s">
        <v>195</v>
      </c>
      <c r="Y42" s="21" t="s">
        <v>195</v>
      </c>
      <c r="Z42" s="21" t="s">
        <v>195</v>
      </c>
      <c r="AA42" s="21" t="s">
        <v>339</v>
      </c>
      <c r="AB42" s="21" t="s">
        <v>195</v>
      </c>
      <c r="AC42" s="21" t="s">
        <v>195</v>
      </c>
      <c r="AD42" s="21" t="s">
        <v>195</v>
      </c>
      <c r="AE42" s="21" t="s">
        <v>195</v>
      </c>
      <c r="AF42" s="21" t="s">
        <v>195</v>
      </c>
      <c r="AG42" s="21" t="s">
        <v>195</v>
      </c>
    </row>
    <row r="43" spans="1:33" ht="264" customHeight="1" x14ac:dyDescent="0.3">
      <c r="A43" s="26" t="s">
        <v>201</v>
      </c>
      <c r="B43" s="21" t="s">
        <v>340</v>
      </c>
      <c r="C43" s="21" t="s">
        <v>341</v>
      </c>
      <c r="D43" s="21" t="s">
        <v>342</v>
      </c>
      <c r="E43" s="21" t="s">
        <v>343</v>
      </c>
      <c r="F43" s="21" t="s">
        <v>344</v>
      </c>
      <c r="G43" s="21" t="s">
        <v>345</v>
      </c>
      <c r="H43" s="21" t="s">
        <v>346</v>
      </c>
      <c r="I43" s="21" t="s">
        <v>347</v>
      </c>
      <c r="J43" s="21" t="s">
        <v>348</v>
      </c>
      <c r="K43" s="21" t="s">
        <v>349</v>
      </c>
      <c r="L43" s="21" t="s">
        <v>350</v>
      </c>
      <c r="M43" s="21" t="s">
        <v>351</v>
      </c>
      <c r="N43" s="21" t="s">
        <v>352</v>
      </c>
      <c r="O43" s="21" t="s">
        <v>353</v>
      </c>
      <c r="P43" s="21" t="s">
        <v>354</v>
      </c>
      <c r="Q43" s="21" t="s">
        <v>355</v>
      </c>
      <c r="R43" s="21" t="s">
        <v>356</v>
      </c>
      <c r="S43" s="21" t="s">
        <v>357</v>
      </c>
      <c r="T43" s="21" t="s">
        <v>358</v>
      </c>
      <c r="U43" s="21" t="s">
        <v>359</v>
      </c>
      <c r="V43" s="21" t="s">
        <v>360</v>
      </c>
      <c r="W43" s="21" t="s">
        <v>361</v>
      </c>
      <c r="X43" s="21" t="s">
        <v>362</v>
      </c>
      <c r="Y43" s="21" t="s">
        <v>363</v>
      </c>
      <c r="Z43" s="21" t="s">
        <v>364</v>
      </c>
      <c r="AA43" s="21" t="s">
        <v>365</v>
      </c>
      <c r="AB43" s="21" t="s">
        <v>366</v>
      </c>
      <c r="AC43" s="21" t="s">
        <v>367</v>
      </c>
      <c r="AD43" s="21" t="s">
        <v>368</v>
      </c>
      <c r="AE43" s="21" t="s">
        <v>369</v>
      </c>
      <c r="AF43" s="21" t="s">
        <v>370</v>
      </c>
      <c r="AG43" s="21" t="s">
        <v>371</v>
      </c>
    </row>
    <row r="48" spans="1:33" ht="16.05" customHeight="1" x14ac:dyDescent="0.3">
      <c r="A48" s="19" t="s">
        <v>59</v>
      </c>
      <c r="B48" s="36" t="s">
        <v>372</v>
      </c>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4"/>
    </row>
    <row r="49" spans="1:33" ht="16.05" customHeight="1" x14ac:dyDescent="0.3">
      <c r="A49" s="19" t="s">
        <v>61</v>
      </c>
      <c r="B49" s="32" t="s">
        <v>373</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4"/>
    </row>
    <row r="50" spans="1:33" ht="13.5" customHeight="1" x14ac:dyDescent="0.3">
      <c r="A50" s="19" t="s">
        <v>63</v>
      </c>
      <c r="B50" s="22" t="s">
        <v>64</v>
      </c>
      <c r="C50" s="22" t="s">
        <v>65</v>
      </c>
      <c r="D50" s="35" t="s">
        <v>66</v>
      </c>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4"/>
    </row>
    <row r="51" spans="1:33" ht="16.05" customHeight="1" x14ac:dyDescent="0.3">
      <c r="A51" s="19"/>
      <c r="B51" s="21" t="s">
        <v>67</v>
      </c>
      <c r="C51" s="21" t="s">
        <v>374</v>
      </c>
      <c r="D51" s="32" t="s">
        <v>375</v>
      </c>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4"/>
    </row>
    <row r="52" spans="1:33" ht="16.05" customHeight="1" x14ac:dyDescent="0.3">
      <c r="A52" s="23" t="s">
        <v>69</v>
      </c>
      <c r="B52" s="36" t="s">
        <v>376</v>
      </c>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4"/>
    </row>
    <row r="53" spans="1:33" ht="16.05" customHeight="1" x14ac:dyDescent="0.3">
      <c r="A53" s="23" t="s">
        <v>71</v>
      </c>
      <c r="B53" s="32" t="s">
        <v>377</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4"/>
    </row>
    <row r="54" spans="1:33" ht="13.5" customHeight="1" x14ac:dyDescent="0.3">
      <c r="A54" s="23" t="s">
        <v>73</v>
      </c>
      <c r="B54" s="22" t="s">
        <v>74</v>
      </c>
      <c r="C54" s="22" t="s">
        <v>75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1:33" ht="16.05" customHeight="1" x14ac:dyDescent="0.3">
      <c r="A55" s="23"/>
      <c r="B55" s="24">
        <v>799</v>
      </c>
      <c r="C55" s="24">
        <v>6</v>
      </c>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spans="1:33" ht="6" customHeight="1" x14ac:dyDescent="0.3"/>
    <row r="57" spans="1:33" ht="15" customHeight="1" x14ac:dyDescent="0.3">
      <c r="A57" s="25" t="s">
        <v>76</v>
      </c>
      <c r="B57" s="20" t="s">
        <v>378</v>
      </c>
      <c r="C57" s="20" t="s">
        <v>379</v>
      </c>
      <c r="D57" s="20" t="s">
        <v>380</v>
      </c>
      <c r="E57" s="20" t="s">
        <v>381</v>
      </c>
      <c r="F57" s="20" t="s">
        <v>382</v>
      </c>
      <c r="G57" s="20" t="s">
        <v>383</v>
      </c>
    </row>
    <row r="58" spans="1:33" ht="24" customHeight="1" x14ac:dyDescent="0.3">
      <c r="A58" s="25" t="s">
        <v>105</v>
      </c>
      <c r="B58" s="21" t="s">
        <v>384</v>
      </c>
      <c r="C58" s="21" t="s">
        <v>385</v>
      </c>
      <c r="D58" s="21" t="s">
        <v>386</v>
      </c>
      <c r="E58" s="21" t="s">
        <v>387</v>
      </c>
      <c r="F58" s="21" t="s">
        <v>388</v>
      </c>
      <c r="G58" s="21" t="s">
        <v>389</v>
      </c>
    </row>
    <row r="59" spans="1:33" ht="15" customHeight="1" x14ac:dyDescent="0.3">
      <c r="A59" s="25" t="s">
        <v>133</v>
      </c>
      <c r="B59" s="21" t="s">
        <v>134</v>
      </c>
      <c r="C59" s="21" t="s">
        <v>139</v>
      </c>
      <c r="D59" s="21" t="s">
        <v>137</v>
      </c>
      <c r="E59" s="21" t="s">
        <v>137</v>
      </c>
      <c r="F59" s="21" t="s">
        <v>137</v>
      </c>
      <c r="G59" s="21" t="s">
        <v>139</v>
      </c>
    </row>
    <row r="60" spans="1:33" ht="24" customHeight="1" x14ac:dyDescent="0.3">
      <c r="A60" s="25" t="s">
        <v>140</v>
      </c>
      <c r="B60" s="21" t="s">
        <v>141</v>
      </c>
      <c r="C60" s="21" t="s">
        <v>390</v>
      </c>
      <c r="D60" s="21" t="s">
        <v>143</v>
      </c>
      <c r="E60" s="21" t="s">
        <v>143</v>
      </c>
      <c r="F60" s="21" t="s">
        <v>143</v>
      </c>
      <c r="G60" s="21" t="s">
        <v>143</v>
      </c>
    </row>
    <row r="61" spans="1:33" ht="36" customHeight="1" x14ac:dyDescent="0.3">
      <c r="A61" s="26" t="s">
        <v>149</v>
      </c>
      <c r="B61" s="21" t="s">
        <v>391</v>
      </c>
      <c r="C61" s="21" t="s">
        <v>392</v>
      </c>
      <c r="D61" s="21" t="s">
        <v>393</v>
      </c>
      <c r="E61" s="21" t="s">
        <v>394</v>
      </c>
      <c r="F61" s="21" t="s">
        <v>395</v>
      </c>
      <c r="G61" s="21" t="s">
        <v>396</v>
      </c>
    </row>
    <row r="62" spans="1:33" ht="15" customHeight="1" x14ac:dyDescent="0.3">
      <c r="A62" s="26" t="s">
        <v>176</v>
      </c>
      <c r="B62" s="24">
        <v>799</v>
      </c>
      <c r="C62" s="24">
        <v>799</v>
      </c>
      <c r="D62" s="24">
        <v>2</v>
      </c>
      <c r="E62" s="24">
        <v>23</v>
      </c>
      <c r="F62" s="24">
        <v>7</v>
      </c>
      <c r="G62" s="24">
        <v>799</v>
      </c>
    </row>
    <row r="63" spans="1:33" ht="60" customHeight="1" x14ac:dyDescent="0.3">
      <c r="A63" s="26" t="s">
        <v>177</v>
      </c>
      <c r="B63" s="21" t="s">
        <v>178</v>
      </c>
      <c r="C63" s="21" t="s">
        <v>178</v>
      </c>
      <c r="D63" s="21" t="s">
        <v>327</v>
      </c>
      <c r="E63" s="21" t="s">
        <v>178</v>
      </c>
      <c r="F63" s="21" t="s">
        <v>397</v>
      </c>
      <c r="G63" s="21" t="s">
        <v>178</v>
      </c>
    </row>
    <row r="64" spans="1:33" ht="15" customHeight="1" x14ac:dyDescent="0.3">
      <c r="A64" s="26" t="s">
        <v>194</v>
      </c>
      <c r="B64" s="21" t="s">
        <v>195</v>
      </c>
      <c r="C64" s="21" t="s">
        <v>195</v>
      </c>
      <c r="D64" s="21" t="s">
        <v>195</v>
      </c>
      <c r="E64" s="21" t="s">
        <v>398</v>
      </c>
      <c r="F64" s="21" t="s">
        <v>399</v>
      </c>
      <c r="G64" s="21" t="s">
        <v>195</v>
      </c>
    </row>
    <row r="65" spans="1:33" ht="348" customHeight="1" x14ac:dyDescent="0.3">
      <c r="A65" s="26" t="s">
        <v>201</v>
      </c>
      <c r="B65" s="21" t="s">
        <v>400</v>
      </c>
      <c r="C65" s="21" t="s">
        <v>401</v>
      </c>
      <c r="D65" s="21" t="s">
        <v>402</v>
      </c>
      <c r="E65" s="21" t="s">
        <v>403</v>
      </c>
      <c r="F65" s="21" t="s">
        <v>404</v>
      </c>
      <c r="G65" s="21" t="s">
        <v>405</v>
      </c>
    </row>
    <row r="70" spans="1:33" ht="16.05" customHeight="1" x14ac:dyDescent="0.3">
      <c r="A70" s="19" t="s">
        <v>59</v>
      </c>
      <c r="B70" s="36" t="s">
        <v>406</v>
      </c>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4"/>
    </row>
    <row r="71" spans="1:33" ht="24" customHeight="1" x14ac:dyDescent="0.3">
      <c r="A71" s="19" t="s">
        <v>61</v>
      </c>
      <c r="B71" s="32" t="s">
        <v>407</v>
      </c>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4"/>
    </row>
    <row r="72" spans="1:33" ht="13.5" customHeight="1" x14ac:dyDescent="0.3">
      <c r="A72" s="19" t="s">
        <v>63</v>
      </c>
      <c r="B72" s="22" t="s">
        <v>64</v>
      </c>
      <c r="C72" s="22" t="s">
        <v>65</v>
      </c>
      <c r="D72" s="35" t="s">
        <v>66</v>
      </c>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4"/>
    </row>
    <row r="73" spans="1:33" ht="16.05" customHeight="1" x14ac:dyDescent="0.3">
      <c r="A73" s="19"/>
      <c r="B73" s="21" t="s">
        <v>67</v>
      </c>
      <c r="C73" s="21" t="s">
        <v>408</v>
      </c>
      <c r="D73" s="32" t="s">
        <v>409</v>
      </c>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4"/>
    </row>
    <row r="74" spans="1:33" ht="16.05" customHeight="1" x14ac:dyDescent="0.3">
      <c r="A74" s="23" t="s">
        <v>69</v>
      </c>
      <c r="B74" s="36" t="s">
        <v>410</v>
      </c>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4"/>
    </row>
    <row r="75" spans="1:33" ht="24" customHeight="1" x14ac:dyDescent="0.3">
      <c r="A75" s="23" t="s">
        <v>71</v>
      </c>
      <c r="B75" s="32" t="s">
        <v>411</v>
      </c>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4"/>
    </row>
    <row r="76" spans="1:33" ht="13.5" customHeight="1" x14ac:dyDescent="0.3">
      <c r="A76" s="23" t="s">
        <v>73</v>
      </c>
      <c r="B76" s="22" t="s">
        <v>74</v>
      </c>
      <c r="C76" s="22" t="s">
        <v>75</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3" ht="16.05" customHeight="1" x14ac:dyDescent="0.3">
      <c r="A77" s="23"/>
      <c r="B77" s="24">
        <v>16</v>
      </c>
      <c r="C77" s="24">
        <v>2</v>
      </c>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spans="1:33" ht="6" customHeight="1" x14ac:dyDescent="0.3"/>
    <row r="79" spans="1:33" ht="15" customHeight="1" x14ac:dyDescent="0.3">
      <c r="A79" s="25" t="s">
        <v>76</v>
      </c>
      <c r="B79" s="20" t="s">
        <v>412</v>
      </c>
      <c r="C79" s="20" t="s">
        <v>413</v>
      </c>
    </row>
    <row r="80" spans="1:33" ht="24" customHeight="1" x14ac:dyDescent="0.3">
      <c r="A80" s="25" t="s">
        <v>105</v>
      </c>
      <c r="B80" s="21" t="s">
        <v>414</v>
      </c>
      <c r="C80" s="21" t="s">
        <v>415</v>
      </c>
    </row>
    <row r="81" spans="1:33" ht="15" customHeight="1" x14ac:dyDescent="0.3">
      <c r="A81" s="25" t="s">
        <v>133</v>
      </c>
      <c r="B81" s="21" t="s">
        <v>134</v>
      </c>
      <c r="C81" s="21" t="s">
        <v>139</v>
      </c>
    </row>
    <row r="82" spans="1:33" ht="15" customHeight="1" x14ac:dyDescent="0.3">
      <c r="A82" s="25" t="s">
        <v>140</v>
      </c>
      <c r="B82" s="21" t="s">
        <v>141</v>
      </c>
      <c r="C82" s="21" t="s">
        <v>416</v>
      </c>
    </row>
    <row r="83" spans="1:33" ht="36" customHeight="1" x14ac:dyDescent="0.3">
      <c r="A83" s="26" t="s">
        <v>149</v>
      </c>
      <c r="B83" s="21" t="s">
        <v>417</v>
      </c>
      <c r="C83" s="21" t="s">
        <v>418</v>
      </c>
    </row>
    <row r="84" spans="1:33" ht="15" customHeight="1" x14ac:dyDescent="0.3">
      <c r="A84" s="26" t="s">
        <v>176</v>
      </c>
      <c r="B84" s="24">
        <v>16</v>
      </c>
      <c r="C84" s="24">
        <v>16</v>
      </c>
    </row>
    <row r="85" spans="1:33" ht="144" customHeight="1" x14ac:dyDescent="0.3">
      <c r="A85" s="26" t="s">
        <v>177</v>
      </c>
      <c r="B85" s="21" t="s">
        <v>419</v>
      </c>
      <c r="C85" s="21" t="s">
        <v>420</v>
      </c>
    </row>
    <row r="86" spans="1:33" ht="15" customHeight="1" x14ac:dyDescent="0.3">
      <c r="A86" s="26" t="s">
        <v>194</v>
      </c>
      <c r="B86" s="21" t="s">
        <v>195</v>
      </c>
      <c r="C86" s="21" t="s">
        <v>195</v>
      </c>
    </row>
    <row r="87" spans="1:33" ht="372" customHeight="1" x14ac:dyDescent="0.3">
      <c r="A87" s="26" t="s">
        <v>201</v>
      </c>
      <c r="B87" s="21" t="s">
        <v>421</v>
      </c>
      <c r="C87" s="21" t="s">
        <v>422</v>
      </c>
    </row>
    <row r="92" spans="1:33" ht="16.05" customHeight="1" x14ac:dyDescent="0.3">
      <c r="A92" s="19" t="s">
        <v>59</v>
      </c>
      <c r="B92" s="36" t="s">
        <v>423</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4"/>
    </row>
    <row r="93" spans="1:33" ht="24" customHeight="1" x14ac:dyDescent="0.3">
      <c r="A93" s="19" t="s">
        <v>61</v>
      </c>
      <c r="B93" s="32" t="s">
        <v>424</v>
      </c>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4"/>
    </row>
    <row r="94" spans="1:33" ht="13.5" customHeight="1" x14ac:dyDescent="0.3">
      <c r="A94" s="19" t="s">
        <v>63</v>
      </c>
      <c r="B94" s="22" t="s">
        <v>64</v>
      </c>
      <c r="C94" s="22" t="s">
        <v>65</v>
      </c>
      <c r="D94" s="35" t="s">
        <v>66</v>
      </c>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4"/>
    </row>
    <row r="95" spans="1:33" ht="16.05" customHeight="1" x14ac:dyDescent="0.3">
      <c r="A95" s="19"/>
      <c r="B95" s="21" t="s">
        <v>67</v>
      </c>
      <c r="C95" s="21" t="s">
        <v>425</v>
      </c>
      <c r="D95" s="32" t="s">
        <v>426</v>
      </c>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4"/>
    </row>
    <row r="96" spans="1:33" ht="16.05" customHeight="1" x14ac:dyDescent="0.3">
      <c r="A96" s="23" t="s">
        <v>69</v>
      </c>
      <c r="B96" s="36" t="s">
        <v>427</v>
      </c>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4"/>
    </row>
    <row r="97" spans="1:33" ht="16.05" customHeight="1" x14ac:dyDescent="0.3">
      <c r="A97" s="23" t="s">
        <v>71</v>
      </c>
      <c r="B97" s="32" t="s">
        <v>428</v>
      </c>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4"/>
    </row>
    <row r="98" spans="1:33" ht="13.5" customHeight="1" x14ac:dyDescent="0.3">
      <c r="A98" s="23" t="s">
        <v>73</v>
      </c>
      <c r="B98" s="22" t="s">
        <v>74</v>
      </c>
      <c r="C98" s="22" t="s">
        <v>75</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spans="1:33" ht="16.05" customHeight="1" x14ac:dyDescent="0.3">
      <c r="A99" s="23"/>
      <c r="B99" s="24">
        <v>63</v>
      </c>
      <c r="C99" s="24">
        <v>3</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spans="1:33" ht="6" customHeight="1" x14ac:dyDescent="0.3"/>
    <row r="101" spans="1:33" ht="15" customHeight="1" x14ac:dyDescent="0.3">
      <c r="A101" s="25" t="s">
        <v>76</v>
      </c>
      <c r="B101" s="20" t="s">
        <v>429</v>
      </c>
      <c r="C101" s="20" t="s">
        <v>90</v>
      </c>
      <c r="D101" s="20" t="s">
        <v>80</v>
      </c>
    </row>
    <row r="102" spans="1:33" ht="24" customHeight="1" x14ac:dyDescent="0.3">
      <c r="A102" s="25" t="s">
        <v>105</v>
      </c>
      <c r="B102" s="21" t="s">
        <v>430</v>
      </c>
      <c r="C102" s="21" t="s">
        <v>431</v>
      </c>
      <c r="D102" s="21" t="s">
        <v>432</v>
      </c>
    </row>
    <row r="103" spans="1:33" ht="15" customHeight="1" x14ac:dyDescent="0.3">
      <c r="A103" s="25" t="s">
        <v>133</v>
      </c>
      <c r="B103" s="21" t="s">
        <v>134</v>
      </c>
      <c r="C103" s="21" t="s">
        <v>139</v>
      </c>
      <c r="D103" s="21" t="s">
        <v>139</v>
      </c>
    </row>
    <row r="104" spans="1:33" ht="24" customHeight="1" x14ac:dyDescent="0.3">
      <c r="A104" s="25" t="s">
        <v>140</v>
      </c>
      <c r="B104" s="21" t="s">
        <v>141</v>
      </c>
      <c r="C104" s="21" t="s">
        <v>433</v>
      </c>
      <c r="D104" s="21" t="s">
        <v>143</v>
      </c>
    </row>
    <row r="105" spans="1:33" ht="48" customHeight="1" x14ac:dyDescent="0.3">
      <c r="A105" s="26" t="s">
        <v>149</v>
      </c>
      <c r="B105" s="21" t="s">
        <v>417</v>
      </c>
      <c r="C105" s="21" t="s">
        <v>161</v>
      </c>
      <c r="D105" s="21" t="s">
        <v>153</v>
      </c>
    </row>
    <row r="106" spans="1:33" ht="15" customHeight="1" x14ac:dyDescent="0.3">
      <c r="A106" s="26" t="s">
        <v>176</v>
      </c>
      <c r="B106" s="24">
        <v>63</v>
      </c>
      <c r="C106" s="24">
        <v>59</v>
      </c>
      <c r="D106" s="24">
        <v>37</v>
      </c>
    </row>
    <row r="107" spans="1:33" ht="15" customHeight="1" x14ac:dyDescent="0.3">
      <c r="A107" s="26" t="s">
        <v>177</v>
      </c>
      <c r="B107" s="21" t="s">
        <v>178</v>
      </c>
      <c r="C107" s="21" t="s">
        <v>178</v>
      </c>
      <c r="D107" s="21" t="s">
        <v>178</v>
      </c>
    </row>
    <row r="108" spans="1:33" ht="15" customHeight="1" x14ac:dyDescent="0.3">
      <c r="A108" s="26" t="s">
        <v>194</v>
      </c>
      <c r="B108" s="21" t="s">
        <v>195</v>
      </c>
      <c r="C108" s="21" t="s">
        <v>195</v>
      </c>
      <c r="D108" s="21" t="s">
        <v>434</v>
      </c>
    </row>
    <row r="109" spans="1:33" ht="312" customHeight="1" x14ac:dyDescent="0.3">
      <c r="A109" s="26" t="s">
        <v>201</v>
      </c>
      <c r="B109" s="21" t="s">
        <v>435</v>
      </c>
      <c r="C109" s="21" t="s">
        <v>436</v>
      </c>
      <c r="D109" s="21" t="s">
        <v>437</v>
      </c>
    </row>
  </sheetData>
  <mergeCells count="32">
    <mergeCell ref="A1:U1"/>
    <mergeCell ref="D94:AG94"/>
    <mergeCell ref="D50:AG50"/>
    <mergeCell ref="B9:AG9"/>
    <mergeCell ref="B49:AG49"/>
    <mergeCell ref="B74:AG74"/>
    <mergeCell ref="B92:AG92"/>
    <mergeCell ref="B30:AG30"/>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 ref="B5:AG5"/>
    <mergeCell ref="D6:AG6"/>
    <mergeCell ref="B4:AG4"/>
    <mergeCell ref="B26:AG26"/>
    <mergeCell ref="B75:AG75"/>
    <mergeCell ref="D73:AG73"/>
    <mergeCell ref="D51:AG51"/>
    <mergeCell ref="B53:AG53"/>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1" t="s">
        <v>0</v>
      </c>
      <c r="B1" s="30"/>
      <c r="C1" s="30"/>
      <c r="D1" s="30"/>
      <c r="E1" s="30"/>
      <c r="F1" s="30"/>
    </row>
    <row r="2" spans="1:6" x14ac:dyDescent="0.3">
      <c r="A2" s="29" t="s">
        <v>1</v>
      </c>
      <c r="B2" s="30"/>
      <c r="C2" s="30"/>
      <c r="D2" s="30"/>
      <c r="E2" s="30"/>
      <c r="F2" s="30"/>
    </row>
    <row r="4" spans="1:6" ht="27.6" customHeight="1" x14ac:dyDescent="0.3">
      <c r="A4" s="14" t="s">
        <v>2</v>
      </c>
      <c r="B4" s="14" t="s">
        <v>3</v>
      </c>
      <c r="C4" s="14" t="s">
        <v>4</v>
      </c>
      <c r="D4" s="14" t="s">
        <v>5</v>
      </c>
      <c r="E4" s="14" t="s">
        <v>6</v>
      </c>
      <c r="F4" s="14" t="s">
        <v>7</v>
      </c>
    </row>
    <row r="5" spans="1:6" ht="26.4" customHeight="1" x14ac:dyDescent="0.3">
      <c r="A5" s="12" t="s">
        <v>8</v>
      </c>
      <c r="B5" s="12" t="s">
        <v>9</v>
      </c>
      <c r="C5" s="12" t="s">
        <v>10</v>
      </c>
      <c r="D5" s="12" t="s">
        <v>9</v>
      </c>
      <c r="E5" s="12" t="s">
        <v>11</v>
      </c>
      <c r="F5" s="12" t="s">
        <v>12</v>
      </c>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5"/>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1" t="s">
        <v>24</v>
      </c>
      <c r="B1" s="30"/>
      <c r="C1" s="30"/>
      <c r="D1" s="30"/>
      <c r="E1" s="30"/>
      <c r="F1" s="30"/>
    </row>
    <row r="2" spans="1:6" x14ac:dyDescent="0.3">
      <c r="A2" s="29" t="s">
        <v>438</v>
      </c>
      <c r="B2" s="30"/>
      <c r="C2" s="30"/>
      <c r="D2" s="30"/>
      <c r="E2" s="30"/>
      <c r="F2" s="30"/>
    </row>
    <row r="4" spans="1:6" ht="27.6" customHeight="1" x14ac:dyDescent="0.3">
      <c r="A4" s="14" t="s">
        <v>439</v>
      </c>
      <c r="B4" s="14" t="s">
        <v>440</v>
      </c>
      <c r="C4" s="14" t="s">
        <v>441</v>
      </c>
      <c r="D4" s="14" t="s">
        <v>442</v>
      </c>
      <c r="E4" s="14" t="s">
        <v>443</v>
      </c>
      <c r="F4" s="14" t="s">
        <v>444</v>
      </c>
    </row>
    <row r="5" spans="1:6" ht="138.6" customHeight="1" x14ac:dyDescent="0.3">
      <c r="A5" s="27">
        <f t="shared" ref="A5:A35" si="0">ROW()-4</f>
        <v>1</v>
      </c>
      <c r="B5" s="28" t="s">
        <v>445</v>
      </c>
      <c r="C5" s="28" t="s">
        <v>446</v>
      </c>
      <c r="D5" s="27" t="s">
        <v>447</v>
      </c>
      <c r="E5" s="28" t="s">
        <v>448</v>
      </c>
      <c r="F5" s="27" t="s">
        <v>449</v>
      </c>
    </row>
    <row r="6" spans="1:6" ht="100.8" customHeight="1" x14ac:dyDescent="0.3">
      <c r="A6" s="27">
        <f t="shared" si="0"/>
        <v>2</v>
      </c>
      <c r="B6" s="28" t="s">
        <v>450</v>
      </c>
      <c r="C6" s="28" t="s">
        <v>451</v>
      </c>
      <c r="D6" s="27" t="s">
        <v>447</v>
      </c>
      <c r="E6" s="28" t="s">
        <v>452</v>
      </c>
      <c r="F6" s="27" t="s">
        <v>449</v>
      </c>
    </row>
    <row r="7" spans="1:6" ht="163.80000000000001" customHeight="1" x14ac:dyDescent="0.3">
      <c r="A7" s="27">
        <f t="shared" si="0"/>
        <v>3</v>
      </c>
      <c r="B7" s="28" t="s">
        <v>453</v>
      </c>
      <c r="C7" s="28" t="s">
        <v>454</v>
      </c>
      <c r="D7" s="27" t="s">
        <v>447</v>
      </c>
      <c r="E7" s="28" t="s">
        <v>455</v>
      </c>
      <c r="F7" s="27" t="s">
        <v>449</v>
      </c>
    </row>
    <row r="8" spans="1:6" ht="163.80000000000001" customHeight="1" x14ac:dyDescent="0.3">
      <c r="A8" s="27">
        <f t="shared" si="0"/>
        <v>4</v>
      </c>
      <c r="B8" s="28" t="s">
        <v>456</v>
      </c>
      <c r="C8" s="28" t="s">
        <v>457</v>
      </c>
      <c r="D8" s="27" t="s">
        <v>447</v>
      </c>
      <c r="E8" s="28" t="s">
        <v>458</v>
      </c>
      <c r="F8" s="27" t="s">
        <v>449</v>
      </c>
    </row>
    <row r="9" spans="1:6" ht="151.19999999999999" customHeight="1" x14ac:dyDescent="0.3">
      <c r="A9" s="27">
        <f t="shared" si="0"/>
        <v>5</v>
      </c>
      <c r="B9" s="28" t="s">
        <v>459</v>
      </c>
      <c r="C9" s="28" t="s">
        <v>460</v>
      </c>
      <c r="D9" s="27" t="s">
        <v>447</v>
      </c>
      <c r="E9" s="28" t="s">
        <v>461</v>
      </c>
      <c r="F9" s="27" t="s">
        <v>449</v>
      </c>
    </row>
    <row r="10" spans="1:6" ht="176.4" customHeight="1" x14ac:dyDescent="0.3">
      <c r="A10" s="27">
        <f t="shared" si="0"/>
        <v>6</v>
      </c>
      <c r="B10" s="28" t="s">
        <v>453</v>
      </c>
      <c r="C10" s="28" t="s">
        <v>462</v>
      </c>
      <c r="D10" s="27" t="s">
        <v>463</v>
      </c>
      <c r="E10" s="28" t="s">
        <v>464</v>
      </c>
      <c r="F10" s="27" t="s">
        <v>449</v>
      </c>
    </row>
    <row r="11" spans="1:6" ht="100.8" customHeight="1" x14ac:dyDescent="0.3">
      <c r="A11" s="27">
        <f t="shared" si="0"/>
        <v>7</v>
      </c>
      <c r="B11" s="28" t="s">
        <v>465</v>
      </c>
      <c r="C11" s="28" t="s">
        <v>466</v>
      </c>
      <c r="D11" s="27" t="s">
        <v>463</v>
      </c>
      <c r="E11" s="28" t="s">
        <v>467</v>
      </c>
      <c r="F11" s="27" t="s">
        <v>449</v>
      </c>
    </row>
    <row r="12" spans="1:6" ht="88.2" customHeight="1" x14ac:dyDescent="0.3">
      <c r="A12" s="27">
        <f t="shared" si="0"/>
        <v>8</v>
      </c>
      <c r="B12" s="28" t="s">
        <v>468</v>
      </c>
      <c r="C12" s="28" t="s">
        <v>469</v>
      </c>
      <c r="D12" s="27" t="s">
        <v>463</v>
      </c>
      <c r="E12" s="28" t="s">
        <v>470</v>
      </c>
      <c r="F12" s="27" t="s">
        <v>449</v>
      </c>
    </row>
    <row r="13" spans="1:6" ht="189" customHeight="1" x14ac:dyDescent="0.3">
      <c r="A13" s="27">
        <f t="shared" si="0"/>
        <v>9</v>
      </c>
      <c r="B13" s="28" t="s">
        <v>471</v>
      </c>
      <c r="C13" s="28" t="s">
        <v>472</v>
      </c>
      <c r="D13" s="27" t="s">
        <v>463</v>
      </c>
      <c r="E13" s="28" t="s">
        <v>473</v>
      </c>
      <c r="F13" s="27" t="s">
        <v>449</v>
      </c>
    </row>
    <row r="14" spans="1:6" ht="126" customHeight="1" x14ac:dyDescent="0.3">
      <c r="A14" s="27">
        <f t="shared" si="0"/>
        <v>10</v>
      </c>
      <c r="B14" s="28" t="s">
        <v>474</v>
      </c>
      <c r="C14" s="28" t="s">
        <v>475</v>
      </c>
      <c r="D14" s="27" t="s">
        <v>463</v>
      </c>
      <c r="E14" s="28" t="s">
        <v>476</v>
      </c>
      <c r="F14" s="27" t="s">
        <v>449</v>
      </c>
    </row>
    <row r="15" spans="1:6" ht="100.8" customHeight="1" x14ac:dyDescent="0.3">
      <c r="A15" s="27">
        <f t="shared" si="0"/>
        <v>11</v>
      </c>
      <c r="B15" s="28" t="s">
        <v>477</v>
      </c>
      <c r="C15" s="28" t="s">
        <v>478</v>
      </c>
      <c r="D15" s="27" t="s">
        <v>463</v>
      </c>
      <c r="E15" s="28" t="s">
        <v>479</v>
      </c>
      <c r="F15" s="27" t="s">
        <v>449</v>
      </c>
    </row>
    <row r="16" spans="1:6" ht="100.8" customHeight="1" x14ac:dyDescent="0.3">
      <c r="A16" s="27">
        <f t="shared" si="0"/>
        <v>12</v>
      </c>
      <c r="B16" s="28" t="s">
        <v>480</v>
      </c>
      <c r="C16" s="28" t="s">
        <v>481</v>
      </c>
      <c r="D16" s="27" t="s">
        <v>463</v>
      </c>
      <c r="E16" s="28" t="s">
        <v>482</v>
      </c>
      <c r="F16" s="27" t="s">
        <v>449</v>
      </c>
    </row>
    <row r="17" spans="1:6" ht="138.6" customHeight="1" x14ac:dyDescent="0.3">
      <c r="A17" s="27">
        <f t="shared" si="0"/>
        <v>13</v>
      </c>
      <c r="B17" s="28" t="s">
        <v>483</v>
      </c>
      <c r="C17" s="28" t="s">
        <v>484</v>
      </c>
      <c r="D17" s="27" t="s">
        <v>463</v>
      </c>
      <c r="E17" s="28" t="s">
        <v>485</v>
      </c>
      <c r="F17" s="27" t="s">
        <v>449</v>
      </c>
    </row>
    <row r="18" spans="1:6" ht="100.8" customHeight="1" x14ac:dyDescent="0.3">
      <c r="A18" s="27">
        <f t="shared" si="0"/>
        <v>14</v>
      </c>
      <c r="B18" s="28" t="s">
        <v>486</v>
      </c>
      <c r="C18" s="28" t="s">
        <v>487</v>
      </c>
      <c r="D18" s="27" t="s">
        <v>463</v>
      </c>
      <c r="E18" s="28" t="s">
        <v>488</v>
      </c>
      <c r="F18" s="27" t="s">
        <v>449</v>
      </c>
    </row>
    <row r="19" spans="1:6" ht="63" customHeight="1" x14ac:dyDescent="0.3">
      <c r="A19" s="27">
        <f t="shared" si="0"/>
        <v>15</v>
      </c>
      <c r="B19" s="28" t="s">
        <v>489</v>
      </c>
      <c r="C19" s="28" t="s">
        <v>490</v>
      </c>
      <c r="D19" s="27" t="s">
        <v>491</v>
      </c>
      <c r="E19" s="28" t="s">
        <v>492</v>
      </c>
      <c r="F19" s="27" t="s">
        <v>449</v>
      </c>
    </row>
    <row r="20" spans="1:6" ht="100.8" customHeight="1" x14ac:dyDescent="0.3">
      <c r="A20" s="27">
        <f t="shared" si="0"/>
        <v>16</v>
      </c>
      <c r="B20" s="28" t="s">
        <v>493</v>
      </c>
      <c r="C20" s="28" t="s">
        <v>494</v>
      </c>
      <c r="D20" s="27" t="s">
        <v>491</v>
      </c>
      <c r="E20" s="28" t="s">
        <v>495</v>
      </c>
      <c r="F20" s="27" t="s">
        <v>449</v>
      </c>
    </row>
    <row r="21" spans="1:6" ht="100.8" customHeight="1" x14ac:dyDescent="0.3">
      <c r="A21" s="27">
        <f t="shared" si="0"/>
        <v>17</v>
      </c>
      <c r="B21" s="28" t="s">
        <v>496</v>
      </c>
      <c r="C21" s="28" t="s">
        <v>497</v>
      </c>
      <c r="D21" s="27" t="s">
        <v>491</v>
      </c>
      <c r="E21" s="28" t="s">
        <v>498</v>
      </c>
      <c r="F21" s="27" t="s">
        <v>449</v>
      </c>
    </row>
    <row r="22" spans="1:6" ht="138.6" customHeight="1" x14ac:dyDescent="0.3">
      <c r="A22" s="27">
        <f t="shared" si="0"/>
        <v>18</v>
      </c>
      <c r="B22" s="28" t="s">
        <v>499</v>
      </c>
      <c r="C22" s="28" t="s">
        <v>500</v>
      </c>
      <c r="D22" s="27" t="s">
        <v>491</v>
      </c>
      <c r="E22" s="28" t="s">
        <v>501</v>
      </c>
      <c r="F22" s="27" t="s">
        <v>449</v>
      </c>
    </row>
    <row r="23" spans="1:6" ht="151.19999999999999" customHeight="1" x14ac:dyDescent="0.3">
      <c r="A23" s="27">
        <f t="shared" si="0"/>
        <v>19</v>
      </c>
      <c r="B23" s="28" t="s">
        <v>480</v>
      </c>
      <c r="C23" s="28" t="s">
        <v>502</v>
      </c>
      <c r="D23" s="27" t="s">
        <v>491</v>
      </c>
      <c r="E23" s="28" t="s">
        <v>503</v>
      </c>
      <c r="F23" s="27" t="s">
        <v>449</v>
      </c>
    </row>
    <row r="24" spans="1:6" ht="88.2" customHeight="1" x14ac:dyDescent="0.3">
      <c r="A24" s="27">
        <f t="shared" si="0"/>
        <v>20</v>
      </c>
      <c r="B24" s="28" t="s">
        <v>504</v>
      </c>
      <c r="C24" s="28" t="s">
        <v>505</v>
      </c>
      <c r="D24" s="27" t="s">
        <v>491</v>
      </c>
      <c r="E24" s="28" t="s">
        <v>506</v>
      </c>
      <c r="F24" s="27" t="s">
        <v>449</v>
      </c>
    </row>
    <row r="25" spans="1:6" ht="113.4" customHeight="1" x14ac:dyDescent="0.3">
      <c r="A25" s="27">
        <f t="shared" si="0"/>
        <v>21</v>
      </c>
      <c r="B25" s="28" t="s">
        <v>507</v>
      </c>
      <c r="C25" s="28" t="s">
        <v>508</v>
      </c>
      <c r="D25" s="27" t="s">
        <v>491</v>
      </c>
      <c r="E25" s="28" t="s">
        <v>509</v>
      </c>
      <c r="F25" s="27" t="s">
        <v>449</v>
      </c>
    </row>
    <row r="26" spans="1:6" ht="88.2" customHeight="1" x14ac:dyDescent="0.3">
      <c r="A26" s="27">
        <f t="shared" si="0"/>
        <v>22</v>
      </c>
      <c r="B26" s="28" t="s">
        <v>510</v>
      </c>
      <c r="C26" s="28" t="s">
        <v>511</v>
      </c>
      <c r="D26" s="27" t="s">
        <v>491</v>
      </c>
      <c r="E26" s="28" t="s">
        <v>512</v>
      </c>
      <c r="F26" s="27" t="s">
        <v>449</v>
      </c>
    </row>
    <row r="27" spans="1:6" ht="113.4" customHeight="1" x14ac:dyDescent="0.3">
      <c r="A27" s="27">
        <f t="shared" si="0"/>
        <v>23</v>
      </c>
      <c r="B27" s="28" t="s">
        <v>513</v>
      </c>
      <c r="C27" s="28" t="s">
        <v>514</v>
      </c>
      <c r="D27" s="27" t="s">
        <v>491</v>
      </c>
      <c r="E27" s="28" t="s">
        <v>515</v>
      </c>
      <c r="F27" s="27" t="s">
        <v>449</v>
      </c>
    </row>
    <row r="28" spans="1:6" ht="100.8" customHeight="1" x14ac:dyDescent="0.3">
      <c r="A28" s="27">
        <f t="shared" si="0"/>
        <v>24</v>
      </c>
      <c r="B28" s="28" t="s">
        <v>516</v>
      </c>
      <c r="C28" s="28" t="s">
        <v>517</v>
      </c>
      <c r="D28" s="27" t="s">
        <v>491</v>
      </c>
      <c r="E28" s="28" t="s">
        <v>518</v>
      </c>
      <c r="F28" s="27" t="s">
        <v>449</v>
      </c>
    </row>
    <row r="29" spans="1:6" ht="75.599999999999994" customHeight="1" x14ac:dyDescent="0.3">
      <c r="A29" s="27">
        <f t="shared" si="0"/>
        <v>25</v>
      </c>
      <c r="B29" s="28" t="s">
        <v>519</v>
      </c>
      <c r="C29" s="28" t="s">
        <v>520</v>
      </c>
      <c r="D29" s="27" t="s">
        <v>521</v>
      </c>
      <c r="E29" s="28" t="s">
        <v>522</v>
      </c>
      <c r="F29" s="27" t="s">
        <v>449</v>
      </c>
    </row>
    <row r="30" spans="1:6" ht="88.2" customHeight="1" x14ac:dyDescent="0.3">
      <c r="A30" s="27">
        <f t="shared" si="0"/>
        <v>26</v>
      </c>
      <c r="B30" s="28" t="s">
        <v>523</v>
      </c>
      <c r="C30" s="28" t="s">
        <v>524</v>
      </c>
      <c r="D30" s="27" t="s">
        <v>521</v>
      </c>
      <c r="E30" s="28" t="s">
        <v>525</v>
      </c>
      <c r="F30" s="27" t="s">
        <v>449</v>
      </c>
    </row>
    <row r="31" spans="1:6" ht="88.2" customHeight="1" x14ac:dyDescent="0.3">
      <c r="A31" s="27">
        <f t="shared" si="0"/>
        <v>27</v>
      </c>
      <c r="B31" s="28" t="s">
        <v>526</v>
      </c>
      <c r="C31" s="28" t="s">
        <v>527</v>
      </c>
      <c r="D31" s="27" t="s">
        <v>521</v>
      </c>
      <c r="E31" s="28" t="s">
        <v>528</v>
      </c>
      <c r="F31" s="27" t="s">
        <v>529</v>
      </c>
    </row>
    <row r="32" spans="1:6" ht="113.4" customHeight="1" x14ac:dyDescent="0.3">
      <c r="A32" s="27">
        <f t="shared" si="0"/>
        <v>28</v>
      </c>
      <c r="B32" s="28" t="s">
        <v>530</v>
      </c>
      <c r="C32" s="28" t="s">
        <v>531</v>
      </c>
      <c r="D32" s="27" t="s">
        <v>521</v>
      </c>
      <c r="E32" s="28" t="s">
        <v>532</v>
      </c>
      <c r="F32" s="27" t="s">
        <v>529</v>
      </c>
    </row>
    <row r="33" spans="1:6" ht="75.599999999999994" customHeight="1" x14ac:dyDescent="0.3">
      <c r="A33" s="27">
        <f t="shared" si="0"/>
        <v>29</v>
      </c>
      <c r="B33" s="28" t="s">
        <v>533</v>
      </c>
      <c r="C33" s="28" t="s">
        <v>534</v>
      </c>
      <c r="D33" s="27" t="s">
        <v>521</v>
      </c>
      <c r="E33" s="28" t="s">
        <v>535</v>
      </c>
      <c r="F33" s="27" t="s">
        <v>529</v>
      </c>
    </row>
    <row r="34" spans="1:6" ht="88.2" customHeight="1" x14ac:dyDescent="0.3">
      <c r="A34" s="27">
        <f t="shared" si="0"/>
        <v>30</v>
      </c>
      <c r="B34" s="28" t="s">
        <v>536</v>
      </c>
      <c r="C34" s="28" t="s">
        <v>537</v>
      </c>
      <c r="D34" s="27" t="s">
        <v>521</v>
      </c>
      <c r="E34" s="28" t="s">
        <v>538</v>
      </c>
      <c r="F34" s="27" t="s">
        <v>529</v>
      </c>
    </row>
    <row r="35" spans="1:6" ht="88.2" customHeight="1" x14ac:dyDescent="0.3">
      <c r="A35" s="27">
        <f t="shared" si="0"/>
        <v>31</v>
      </c>
      <c r="B35" s="28" t="s">
        <v>539</v>
      </c>
      <c r="C35" s="28" t="s">
        <v>540</v>
      </c>
      <c r="D35" s="27" t="s">
        <v>521</v>
      </c>
      <c r="E35" s="28" t="s">
        <v>541</v>
      </c>
      <c r="F35" s="27" t="s">
        <v>449</v>
      </c>
    </row>
  </sheetData>
  <autoFilter ref="A4:F35" xr:uid="{00000000-0009-0000-0000-000004000000}"/>
  <mergeCells count="2">
    <mergeCell ref="A2:F2"/>
    <mergeCell ref="A1:F1"/>
  </mergeCells>
  <dataValidations count="2">
    <dataValidation type="list" allowBlank="1" sqref="D5:D35" xr:uid="{00000000-0002-0000-0400-000000000000}">
      <formula1>"Low,Medium,High,Critical"</formula1>
      <formula2>0</formula2>
    </dataValidation>
    <dataValidation type="list" allowBlank="1" sqref="F5:F35"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26</v>
      </c>
    </row>
    <row r="3" spans="2:3" ht="27.75" customHeight="1" x14ac:dyDescent="0.3">
      <c r="B3" s="1" t="s">
        <v>542</v>
      </c>
    </row>
    <row r="5" spans="2:3" x14ac:dyDescent="0.3">
      <c r="B5" s="15" t="s">
        <v>543</v>
      </c>
      <c r="C5" s="5">
        <f>COUNTA('1. Data Dictionary'!B4,'1. Data Dictionary'!B26,'1. Data Dictionary'!B48,'1. Data Dictionary'!B70,'1. Data Dictionary'!B92)</f>
        <v>5</v>
      </c>
    </row>
    <row r="6" spans="2:3" x14ac:dyDescent="0.3">
      <c r="B6" s="15" t="s">
        <v>544</v>
      </c>
      <c r="C6" s="16">
        <f>SUM('1. Data Dictionary'!B11,'1. Data Dictionary'!B33,'1. Data Dictionary'!B55,'1. Data Dictionary'!B77,'1. Data Dictionary'!B99)</f>
        <v>290316</v>
      </c>
    </row>
    <row r="7" spans="2:3" x14ac:dyDescent="0.3">
      <c r="B7" s="15" t="s">
        <v>545</v>
      </c>
      <c r="C7" s="5">
        <f>SUM('1. Data Dictionary'!C11,'1. Data Dictionary'!C33,'1. Data Dictionary'!C55,'1. Data Dictionary'!C77,'1. Data Dictionary'!C99)</f>
        <v>71</v>
      </c>
    </row>
    <row r="8" spans="2:3" x14ac:dyDescent="0.3">
      <c r="B8" s="15" t="s">
        <v>546</v>
      </c>
      <c r="C8" s="5">
        <f>COUNTIF('3. Data Quality Log'!F5:F35,"Open")</f>
        <v>27</v>
      </c>
    </row>
    <row r="10" spans="2:3" ht="39.75" customHeight="1" x14ac:dyDescent="0.3">
      <c r="B10" s="3" t="s">
        <v>547</v>
      </c>
      <c r="C10" s="17" t="s">
        <v>548</v>
      </c>
    </row>
    <row r="11" spans="2:3" ht="39.75" customHeight="1" x14ac:dyDescent="0.3">
      <c r="B11" s="3" t="s">
        <v>549</v>
      </c>
      <c r="C11" s="17"/>
    </row>
    <row r="12" spans="2:3" ht="39.75" customHeight="1" x14ac:dyDescent="0.3">
      <c r="B12" s="3" t="s">
        <v>550</v>
      </c>
      <c r="C12" s="17" t="s">
        <v>551</v>
      </c>
    </row>
    <row r="13" spans="2:3" ht="39.75" customHeight="1" x14ac:dyDescent="0.3">
      <c r="B13" s="3" t="s">
        <v>552</v>
      </c>
      <c r="C13" s="17" t="s">
        <v>553</v>
      </c>
    </row>
    <row r="14" spans="2:3" ht="39.75" customHeight="1" x14ac:dyDescent="0.3">
      <c r="B14" s="3" t="s">
        <v>554</v>
      </c>
      <c r="C14" s="17"/>
    </row>
    <row r="16" spans="2:3" x14ac:dyDescent="0.3">
      <c r="B16" s="15" t="s">
        <v>555</v>
      </c>
      <c r="C16" s="18"/>
    </row>
    <row r="17" spans="2:3" x14ac:dyDescent="0.3">
      <c r="B17" s="15" t="s">
        <v>556</v>
      </c>
      <c r="C17" s="1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muhammed junaidpk</cp:lastModifiedBy>
  <cp:revision>0</cp:revision>
  <dcterms:created xsi:type="dcterms:W3CDTF">2026-08-03T06:53:21Z</dcterms:created>
  <dcterms:modified xsi:type="dcterms:W3CDTF">2026-08-19T15:18:41Z</dcterms:modified>
  <dc:language>en-US</dc:language>
</cp:coreProperties>
</file>